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bd2de2705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 List" sheetId="1" r:id="R7b3c91772d6745b0"/>
    <x:sheet xmlns:r="http://schemas.openxmlformats.org/officeDocument/2006/relationships" name="Test Summary" sheetId="2" r:id="R5cfc20a0d398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6">
    <x:font>
      <x:sz val="11"/>
      <x:color theme="1"/>
      <x:name val="Calibri"/>
    </x:font>
    <x:font>
      <x:b/>
      <x:sz val="11"/>
      <x:name val="Calibri"/>
    </x:font>
    <x:font>
      <x:sz val="10"/>
      <x:name val="Calibri"/>
    </x:font>
    <x:font>
      <x:sz val="11"/>
      <x:name val="Calibri"/>
    </x:font>
    <x:font>
      <x:b/>
      <x:sz val="16"/>
      <x:name val="Cambria"/>
    </x:font>
    <x:font>
      <x:sz val="11"/>
      <x:color theme="1"/>
      <x:name val="Cambria"/>
    </x:font>
    <x:font>
      <x:sz val="12"/>
      <x:name val="Calibri"/>
    </x:font>
    <x:font>
      <x:b/>
      <x:sz val="12"/>
      <x:name val="Calibri"/>
    </x:font>
    <x:font>
      <x:b/>
      <x:sz val="14"/>
      <x:name val="Calibri"/>
    </x:font>
    <x:font>
      <x:sz val="14"/>
      <x:color theme="1"/>
      <x:name val="Calibri"/>
    </x:font>
    <x:font>
      <x:sz val="12"/>
      <x:color theme="1"/>
      <x:name val="Calibri"/>
    </x:font>
    <x:font>
      <x:b/>
      <x:sz val="14"/>
      <x:color rgb="FFFFFFFF"/>
      <x:name val="Calibri"/>
    </x:font>
    <x:font>
      <x:b/>
      <x:sz val="14"/>
      <x:color rgb="FF1F1F1F"/>
      <x:name val="Calibri"/>
    </x:font>
    <x:font>
      <x:b/>
      <x:sz val="12"/>
      <x:color rgb="FF1F1F1F"/>
      <x:name val="Calibri"/>
    </x:font>
    <x:font>
      <x:b/>
      <x:sz val="18"/>
      <x:color rgb="FFFFFFFF"/>
      <x:name val="Cambria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9">
    <x:border/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medium">
        <x:color rgb="FF5B9BD5"/>
      </x:left>
      <x:top style="medium">
        <x:color rgb="FF5B9BD5"/>
      </x:top>
      <x:bottom style="medium">
        <x:color rgb="FF5B9BD5"/>
      </x:bottom>
    </x:border>
    <x:border>
      <x:top style="medium">
        <x:color rgb="FF5B9BD5"/>
      </x:top>
      <x:bottom style="medium">
        <x:color rgb="FF5B9BD5"/>
      </x:bottom>
    </x:border>
    <x:border>
      <x:right style="medium">
        <x:color rgb="FF5B9BD5"/>
      </x:right>
      <x:top style="medium">
        <x:color rgb="FF5B9BD5"/>
      </x:top>
      <x:bottom style="medium">
        <x:color rgb="FF5B9BD5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/>
    </x:xf>
    <x:xf numFmtId="0" fontId="2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left" vertical="center"/>
    </x:xf>
    <x:xf numFmtId="0" fontId="3" fillId="0" borderId="1" xfId="0" applyFont="1" applyBorder="1" applyAlignment="1">
      <x:alignment horizontal="center" vertical="center"/>
    </x:xf>
    <x:xf numFmtId="164" fontId="2" fillId="0" borderId="1" xfId="0" applyNumberFormat="1" applyFont="1" applyBorder="1" applyAlignment="1">
      <x:alignment horizontal="center" vertical="center"/>
    </x:xf>
    <x:xf numFmtId="164" fontId="1" fillId="0" borderId="1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5" fillId="0" borderId="0" xfId="0" applyFont="1"/>
    <x:xf numFmtId="0" fontId="6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center" vertical="center"/>
    </x:xf>
    <x:xf numFmtId="0" fontId="8" fillId="0" borderId="1" xfId="0" applyFont="1" applyBorder="1" applyAlignment="1">
      <x:alignment horizontal="center" vertical="center"/>
    </x:xf>
    <x:xf numFmtId="0" fontId="9" fillId="0" borderId="1" xfId="0" applyFont="1" applyBorder="1"/>
    <x:xf numFmtId="0" fontId="10" fillId="0" borderId="0" xfId="0" applyFont="1"/>
    <x:xf numFmtId="0" fontId="8" fillId="0" borderId="1" xfId="0" applyFont="1" applyBorder="1" applyAlignment="1">
      <x:alignment horizontal="center" vertical="center" wrapText="1"/>
    </x:xf>
    <x:xf numFmtId="2" fontId="8" fillId="0" borderId="1" xfId="0" applyNumberFormat="1" applyFont="1" applyBorder="1" applyAlignment="1">
      <x:alignment horizontal="center" vertical="center"/>
    </x:xf>
    <x:xf numFmtId="2" fontId="10" fillId="0" borderId="0" xfId="0" applyNumberFormat="1" applyFont="1" applyAlignment="1"/>
    <x:xf numFmtId="2" fontId="0" fillId="0" borderId="0" xfId="0" applyNumberFormat="1" applyAlignment="1"/>
    <x:xf numFmtId="0" fontId="6" fillId="0" borderId="1" xfId="0" applyFont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" fontId="8" fillId="2" borderId="0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 applyAlignment="1">
      <x:alignment horizontal="center" vertical="center" wrapText="1"/>
    </x:xf>
    <x:xf numFmtId="2" fontId="11" fillId="2" borderId="0" xfId="0" applyNumberFormat="1" applyFont="1" applyFill="1" applyBorder="1" applyAlignment="1">
      <x:alignment horizontal="center" vertical="center"/>
    </x:xf>
    <x:xf numFmtId="0" fontId="11" fillId="2" borderId="2" xfId="0" applyNumberFormat="1" applyFont="1" applyFill="1" applyBorder="1" applyAlignment="1">
      <x:alignment horizontal="center" vertical="center" wrapText="1"/>
    </x:xf>
    <x:xf numFmtId="2" fontId="11" fillId="2" borderId="2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 vertical="center"/>
    </x:xf>
    <x:xf numFmtId="0" fontId="12" fillId="3" borderId="0" xfId="0" applyNumberFormat="1" applyFont="1" applyFill="1" applyBorder="1"/>
    <x:xf numFmtId="0" fontId="12" fillId="3" borderId="3" xfId="0" applyNumberFormat="1" applyFont="1" applyFill="1" applyBorder="1" applyAlignment="1">
      <x:alignment horizontal="center" vertical="center"/>
    </x:xf>
    <x:xf numFmtId="0" fontId="12" fillId="3" borderId="4" xfId="0" applyNumberFormat="1" applyFont="1" applyFill="1" applyBorder="1"/>
    <x:xf numFmtId="0" fontId="12" fillId="3" borderId="5" xfId="0" applyNumberFormat="1" applyFont="1" applyFill="1" applyBorder="1"/>
    <x:xf numFmtId="0" fontId="12" fillId="3" borderId="4" xfId="0" applyNumberFormat="1" applyFont="1" applyFill="1" applyBorder="1" applyAlignment="1">
      <x:alignment horizontal="center"/>
    </x:xf>
    <x:xf numFmtId="0" fontId="12" fillId="3" borderId="5" xfId="0" applyNumberFormat="1" applyFont="1" applyFill="1" applyBorder="1" applyAlignment="1">
      <x:alignment horizontal="center"/>
    </x:xf>
    <x:xf numFmtId="0" fontId="12" fillId="3" borderId="4" xfId="0" applyNumberFormat="1" applyFont="1" applyFill="1" applyBorder="1" applyAlignment="1">
      <x:alignment horizontal="center" vertical="center"/>
    </x:xf>
    <x:xf numFmtId="0" fontId="12" fillId="3" borderId="5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/>
    </x:xf>
    <x:xf numFmtId="0" fontId="13" fillId="3" borderId="0" xfId="0" applyNumberFormat="1" applyFont="1" applyFill="1" applyBorder="1" applyAlignment="1">
      <x:alignment horizontal="center" vertical="center"/>
    </x:xf>
    <x:xf numFmtId="0" fontId="13" fillId="3" borderId="0" xfId="0" applyNumberFormat="1" applyFont="1" applyFill="1" applyBorder="1" applyAlignment="1">
      <x:alignment horizontal="left" vertical="center" wrapText="1"/>
    </x:xf>
    <x:xf numFmtId="0" fontId="13" fillId="3" borderId="3" xfId="0" applyNumberFormat="1" applyFont="1" applyFill="1" applyBorder="1" applyAlignment="1">
      <x:alignment horizontal="center" vertical="center"/>
    </x:xf>
    <x:xf numFmtId="0" fontId="13" fillId="3" borderId="4" xfId="0" applyNumberFormat="1" applyFont="1" applyFill="1" applyBorder="1" applyAlignment="1">
      <x:alignment horizontal="left" vertical="center" wrapText="1"/>
    </x:xf>
    <x:xf numFmtId="0" fontId="13" fillId="3" borderId="4" xfId="0" applyNumberFormat="1" applyFont="1" applyFill="1" applyBorder="1" applyAlignment="1">
      <x:alignment horizontal="center" vertical="center"/>
    </x:xf>
    <x:xf numFmtId="0" fontId="13" fillId="3" borderId="5" xfId="0" applyNumberFormat="1" applyFont="1" applyFill="1" applyBorder="1" applyAlignment="1">
      <x:alignment horizontal="center" vertical="center"/>
    </x:xf>
    <x:xf numFmtId="0" fontId="13" fillId="3" borderId="4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left" vertical="center" wrapText="1"/>
    </x:xf>
    <x:xf numFmtId="0" fontId="7" fillId="0" borderId="6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left" vertical="center" wrapText="1"/>
    </x:xf>
    <x:xf numFmtId="0" fontId="7" fillId="0" borderId="7" xfId="0" applyNumberFormat="1" applyFont="1" applyFill="1" applyBorder="1" applyAlignment="1">
      <x:alignment horizontal="center" vertical="center"/>
    </x:xf>
    <x:xf numFmtId="0" fontId="13" fillId="3" borderId="7" xfId="0" applyNumberFormat="1" applyFont="1" applyFill="1" applyBorder="1" applyAlignment="1">
      <x:alignment horizontal="center" vertical="center"/>
    </x:xf>
    <x:xf numFmtId="0" fontId="13" fillId="3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10" fillId="0" borderId="7" xfId="0" applyNumberFormat="1" applyFont="1" applyFill="1" applyBorder="1"/>
    <x:xf numFmtId="2" fontId="10" fillId="0" borderId="7" xfId="0" applyNumberFormat="1" applyFont="1" applyFill="1" applyBorder="1"/>
    <x:xf numFmtId="0" fontId="8" fillId="0" borderId="7" xfId="0" applyNumberFormat="1" applyFont="1" applyFill="1" applyBorder="1" applyAlignment="1">
      <x:alignment horizontal="center" vertical="center"/>
    </x:xf>
    <x:xf numFmtId="0" fontId="9" fillId="0" borderId="7" xfId="0" applyNumberFormat="1" applyFont="1" applyFill="1" applyBorder="1"/>
    <x:xf numFmtId="0" fontId="6" fillId="0" borderId="7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2" fontId="10" fillId="0" borderId="7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horizontal="center" vertical="center" wrapText="1"/>
    </x:xf>
    <x:xf numFmtId="0" fontId="9" fillId="0" borderId="7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horizontal="center" vertical="top" wrapText="1"/>
    </x:xf>
    <x:xf numFmtId="0" fontId="6" fillId="0" borderId="6" xfId="0" applyNumberFormat="1" applyFont="1" applyFill="1" applyBorder="1" applyAlignment="1">
      <x:alignment horizontal="left" vertical="top" wrapText="1"/>
    </x:xf>
    <x:xf numFmtId="0" fontId="7" fillId="0" borderId="6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horizontal="left" vertical="top" wrapText="1"/>
    </x:xf>
    <x:xf numFmtId="0" fontId="7" fillId="0" borderId="7" xfId="0" applyNumberFormat="1" applyFont="1" applyFill="1" applyBorder="1" applyAlignment="1">
      <x:alignment horizontal="center" vertical="top" wrapText="1"/>
    </x:xf>
    <x:xf numFmtId="0" fontId="13" fillId="3" borderId="7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2" fontId="10" fillId="0" borderId="7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10" fillId="0" borderId="7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14" fillId="2" borderId="0" xfId="0" applyNumberFormat="1" applyFont="1" applyFill="1" applyBorder="1" applyAlignment="1">
      <x:alignment horizontal="left" vertical="center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5" fillId="4" borderId="0" xfId="0" applyNumberFormat="1" applyFont="1" applyFill="1" applyBorder="1" applyAlignment="1">
      <x:alignment horizontal="center" vertical="center"/>
    </x:xf>
    <x:xf numFmtId="0" fontId="15" fillId="4" borderId="8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left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left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1" fillId="3" borderId="8" xfId="0" applyNumberFormat="1" applyFont="1" applyFill="1" applyBorder="1" applyAlignment="1">
      <x:alignment horizontal="left" vertical="center"/>
    </x:xf>
    <x:xf numFmtId="0" fontId="3" fillId="3" borderId="8" xfId="0" applyNumberFormat="1" applyFont="1" applyFill="1" applyBorder="1" applyAlignment="1">
      <x:alignment horizontal="center" vertical="center"/>
    </x:xf>
    <x:xf numFmtId="0" fontId="1" fillId="3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8d7e9da8f4813" /><Relationship Type="http://schemas.openxmlformats.org/officeDocument/2006/relationships/theme" Target="/xl/theme/theme1.xml" Id="Rc82cd94df01f46fc" /><Relationship Type="http://schemas.openxmlformats.org/officeDocument/2006/relationships/sharedStrings" Target="/xl/sharedStrings.xml" Id="R011d56f3abf04e5f" /><Relationship Type="http://schemas.openxmlformats.org/officeDocument/2006/relationships/worksheet" Target="/xl/worksheets/sheet1.xml" Id="R7b3c91772d6745b0" /><Relationship Type="http://schemas.openxmlformats.org/officeDocument/2006/relationships/worksheet" Target="/xl/worksheets/sheet2.xml" Id="R5cfc20a0d39845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88671875" defaultRowHeight="14.399999618530273"/>
  <x:cols>
    <x:col min="1" max="1" width="13" hidden="0" customWidth="1"/>
    <x:col min="2" max="2" width="42" hidden="0" customWidth="1"/>
    <x:col min="3" max="3" width="58" hidden="0" customWidth="1"/>
    <x:col min="4" max="4" width="58" hidden="0" customWidth="1"/>
    <x:col min="5" max="5" width="70" style="19" hidden="0" customWidth="1"/>
    <x:col min="6" max="6" width="12" hidden="0" customWidth="1"/>
  </x:cols>
  <x:sheetData>
    <x:row r="1" ht="28" customHeight="1">
      <x:c r="A1" s="25" t="str">
        <x:v>ID</x:v>
      </x:c>
      <x:c r="B1" s="25" t="str">
        <x:v>Objective</x:v>
      </x:c>
      <x:c r="C1" s="25" t="str">
        <x:v>Input</x:v>
      </x:c>
      <x:c r="D1" s="25" t="str">
        <x:v>Expected result</x:v>
      </x:c>
      <x:c r="E1" s="26" t="str">
        <x:v>Actual Result</x:v>
      </x:c>
      <x:c r="F1" s="25" t="str">
        <x:v>Status</x:v>
      </x:c>
    </x:row>
    <x:row r="2" ht="26" customHeight="1">
      <x:c r="A2" s="31" t="str">
        <x:v>POOL A — FR-05 PRODUCT LISTING AND SEARCH</x:v>
      </x:c>
      <x:c r="B2" s="36"/>
      <x:c r="C2" s="36"/>
      <x:c r="D2" s="36"/>
      <x:c r="E2" s="36"/>
      <x:c r="F2" s="37"/>
    </x:row>
    <x:row r="3" ht="43.20000076293945" hidden="0" customHeight="1">
      <x:c r="A3" s="70" t="str">
        <x:v>TC-A-01</x:v>
      </x:c>
      <x:c r="B3" s="71" t="str">
        <x:v>List all products when search is omitted.</x:v>
      </x:c>
      <x:c r="C3" s="71" t="str">
        <x:v>GET
http://localhost:3000/api/products
Input: &lt;omitted&gt;</x:v>
      </x:c>
      <x:c r="D3" s="71" t="str">
        <x:v>200; JSON array; each item follows the approved product schema; no sensitive fields; GET causes no mutation.</x:v>
      </x:c>
      <x:c r="E3" s="70" t="str">
        <x:v>200 OK; all reviewed assertions passed</x:v>
      </x:c>
      <x:c r="F3" s="72" t="str">
        <x:v>PASSED</x:v>
      </x:c>
    </x:row>
    <x:row r="4" ht="43.20000076293945" hidden="0" customHeight="1">
      <x:c r="A4" s="73" t="str">
        <x:v>TC-A-02</x:v>
      </x:c>
      <x:c r="B4" s="74" t="str">
        <x:v>Search by an exact full product name.</x:v>
      </x:c>
      <x:c r="C4" s="74" t="str">
        <x:v>GET
http://localhost:3000/api/products?search={{searchValue}}
Input: iPhone 15 Pro Max</x:v>
      </x:c>
      <x:c r="D4" s="74" t="str">
        <x:v>200; Array contains the exact named product and no product whose name does not contain the keyword.</x:v>
      </x:c>
      <x:c r="E4" s="73" t="str">
        <x:v>200 OK; all reviewed assertions passed</x:v>
      </x:c>
      <x:c r="F4" s="75" t="str">
        <x:v>PASSED</x:v>
      </x:c>
    </x:row>
    <x:row r="5" ht="43.20000076293945" hidden="0" customHeight="1">
      <x:c r="A5" s="73" t="str">
        <x:v>TC-A-03</x:v>
      </x:c>
      <x:c r="B5" s="74" t="str">
        <x:v>Search with a product-name prefix.</x:v>
      </x:c>
      <x:c r="C5" s="74" t="str">
        <x:v>GET
http://localhost:3000/api/products?search={{searchValue}}
Input: iPhone</x:v>
      </x:c>
      <x:c r="D5" s="74" t="str">
        <x:v>200; Every returned product name contains the prefix under the observed matching policy; expected seeded iPhone is included.</x:v>
      </x:c>
      <x:c r="E5" s="73" t="str">
        <x:v>200 OK; all reviewed assertions passed</x:v>
      </x:c>
      <x:c r="F5" s="75" t="str">
        <x:v>PASSED</x:v>
      </x:c>
    </x:row>
    <x:row r="6" ht="43.20000076293945" hidden="0" customHeight="1">
      <x:c r="A6" s="73" t="str">
        <x:v>TC-A-04</x:v>
      </x:c>
      <x:c r="B6" s="74" t="str">
        <x:v>Search with a middle token from a product name.</x:v>
      </x:c>
      <x:c r="C6" s="74" t="str">
        <x:v>GET
http://localhost:3000/api/products?search={{searchValue}}
Input: Galaxy</x:v>
      </x:c>
      <x:c r="D6" s="74" t="str">
        <x:v>200; Every result name contains Galaxy; Samsung Galaxy seed product is included.</x:v>
      </x:c>
      <x:c r="E6" s="73" t="str">
        <x:v>200 OK; all reviewed assertions passed</x:v>
      </x:c>
      <x:c r="F6" s="75" t="str">
        <x:v>PASSED</x:v>
      </x:c>
    </x:row>
    <x:row r="7" ht="43.20000076293945" hidden="0" customHeight="1">
      <x:c r="A7" s="73" t="str">
        <x:v>TC-A-05</x:v>
      </x:c>
      <x:c r="B7" s="74" t="str">
        <x:v>Search with a suffix token.</x:v>
      </x:c>
      <x:c r="C7" s="74" t="str">
        <x:v>GET
http://localhost:3000/api/products?search={{searchValue}}
Input: Ultra</x:v>
      </x:c>
      <x:c r="D7" s="74" t="str">
        <x:v>200; Every returned name contains Ultra; no unrelated product is returned.</x:v>
      </x:c>
      <x:c r="E7" s="73" t="str">
        <x:v>200 OK; all reviewed assertions passed</x:v>
      </x:c>
      <x:c r="F7" s="75" t="str">
        <x:v>PASSED</x:v>
      </x:c>
    </x:row>
    <x:row r="8" ht="43.20000076293945" hidden="0" customHeight="1">
      <x:c r="A8" s="73" t="str">
        <x:v>TC-A-06</x:v>
      </x:c>
      <x:c r="B8" s="74" t="str">
        <x:v>Observe lowercase search behavior without imposing an unstated case-sensitivity rule.</x:v>
      </x:c>
      <x:c r="C8" s="74" t="str">
        <x:v>GET
http://localhost:3000/api/products?search={{searchValue}}
Input: iphone</x:v>
      </x:c>
      <x:c r="D8" s="74" t="str">
        <x:v>200; Record whether the seeded product matches; response must be valid JSON, contain only name-filter-consistent results under the observed policy, expose no internals, and not mutate data.</x:v>
      </x:c>
      <x:c r="E8" s="73" t="str">
        <x:v>200 OK; all reviewed assertions passed</x:v>
      </x:c>
      <x:c r="F8" s="75" t="str">
        <x:v>PASSED</x:v>
      </x:c>
    </x:row>
    <x:row r="9" ht="43.20000076293945" hidden="0" customHeight="1">
      <x:c r="A9" s="73" t="str">
        <x:v>TC-A-07</x:v>
      </x:c>
      <x:c r="B9" s="74" t="str">
        <x:v>Observe uppercase search collation while checking API safety invariants.</x:v>
      </x:c>
      <x:c r="C9" s="74" t="str">
        <x:v>GET
http://localhost:3000/api/products?search={{searchValue}}
Input: IPHONE</x:v>
      </x:c>
      <x:c r="D9" s="74" t="str">
        <x:v>200; Record result set and compare with exact case as an observation; require JSON, no internal leakage, and no mutation.</x:v>
      </x:c>
      <x:c r="E9" s="73" t="str">
        <x:v>200 OK; all reviewed assertions passed</x:v>
      </x:c>
      <x:c r="F9" s="75" t="str">
        <x:v>PASSED</x:v>
      </x:c>
    </x:row>
    <x:row r="10" ht="43.20000076293945" hidden="0" customHeight="1">
      <x:c r="A10" s="73" t="str">
        <x:v>TC-A-08</x:v>
      </x:c>
      <x:c r="B10" s="74" t="str">
        <x:v>Search using exact Vietnamese diacritics.</x:v>
      </x:c>
      <x:c r="C10" s="74" t="str">
        <x:v>GET
http://localhost:3000/api/products?search={{searchValue}}
Input: Điện thoại</x:v>
      </x:c>
      <x:c r="D10" s="74" t="str">
        <x:v>200; Valid JSON array; any result must contain the exact Vietnamese keyword under the observed matching policy; no encoding corruption.</x:v>
      </x:c>
      <x:c r="E10" s="73" t="str">
        <x:v>200 OK; all reviewed assertions passed</x:v>
      </x:c>
      <x:c r="F10" s="75" t="str">
        <x:v>PASSED</x:v>
      </x:c>
    </x:row>
    <x:row r="11" ht="43.20000076293945" hidden="0" customHeight="1">
      <x:c r="A11" s="73" t="str">
        <x:v>TC-A-09</x:v>
      </x:c>
      <x:c r="B11" s="74" t="str">
        <x:v>Compare NFC and NFD search behavior as an exploratory Unicode-normalization check.</x:v>
      </x:c>
      <x:c r="C11" s="74" t="str">
        <x:v>GET
http://localhost:3000/api/products?search={{searchValue}}
Input: NFC/NFD pair for Điện thoại</x:v>
      </x:c>
      <x:c r="D11" s="74" t="str">
        <x:v>200; Both requests must be safely processed as JSON without 5xx/internal leakage or mutation; result-set equivalence is recorded, not graded.</x:v>
      </x:c>
      <x:c r="E11" s="73" t="str">
        <x:v>200 OK; all reviewed assertions passed</x:v>
      </x:c>
      <x:c r="F11" s="75" t="str">
        <x:v>PASSED</x:v>
      </x:c>
    </x:row>
    <x:row r="12" ht="43.20000076293945" hidden="0" customHeight="1">
      <x:c r="A12" s="73" t="str">
        <x:v>TC-A-10</x:v>
      </x:c>
      <x:c r="B12" s="74" t="str">
        <x:v>Search with a one-character keyword.</x:v>
      </x:c>
      <x:c r="C12" s="74" t="str">
        <x:v>GET
http://localhost:3000/api/products?search={{searchValue}}
Input: a</x:v>
      </x:c>
      <x:c r="D12" s="74" t="str">
        <x:v>200; JSON array; each result name contains the keyword under the observed policy; no unrelated schema fields or mutation.</x:v>
      </x:c>
      <x:c r="E12" s="73" t="str">
        <x:v>200 OK; all reviewed assertions passed</x:v>
      </x:c>
      <x:c r="F12" s="75" t="str">
        <x:v>PASSED</x:v>
      </x:c>
    </x:row>
    <x:row r="13" ht="43.20000076293945" hidden="0" customHeight="1">
      <x:c r="A13" s="73" t="str">
        <x:v>TC-A-11</x:v>
      </x:c>
      <x:c r="B13" s="74" t="str">
        <x:v>Verify the public product list does not require a valid JWT.</x:v>
      </x:c>
      <x:c r="C13" s="74" t="str">
        <x:v>GET
http://localhost:3000/api/products
Input: Invalid Authorization header on a public GET</x:v>
      </x:c>
      <x:c r="D13" s="74" t="str">
        <x:v>200; Product list is returned as JSON without an authentication challenge; no internal token-parser details or mutation.</x:v>
      </x:c>
      <x:c r="E13" s="73" t="str">
        <x:v>200 OK; all reviewed assertions passed</x:v>
      </x:c>
      <x:c r="F13" s="75" t="str">
        <x:v>PASSED</x:v>
      </x:c>
    </x:row>
    <x:row r="14" ht="43.20000076293945" hidden="0" customHeight="1">
      <x:c r="A14" s="73" t="str">
        <x:v>TC-A-12</x:v>
      </x:c>
      <x:c r="B14" s="74" t="str">
        <x:v>Observe empty-search semantics and compare them with omitted search without a strict equality oracle.</x:v>
      </x:c>
      <x:c r="C14" s="74" t="str">
        <x:v>GET
http://localhost:3000/api/products?search={{searchValue}}
Input: —</x:v>
      </x:c>
      <x:c r="D14" s="74" t="str">
        <x:v>200; Valid JSON response with no 5xx/internal leakage or mutation; equality/order difference is documented.</x:v>
      </x:c>
      <x:c r="E14" s="73" t="str">
        <x:v>200 OK; all reviewed assertions passed</x:v>
      </x:c>
      <x:c r="F14" s="75" t="str">
        <x:v>PASSED</x:v>
      </x:c>
    </x:row>
    <x:row r="15" ht="43.20000076293945" hidden="0" customHeight="1">
      <x:c r="A15" s="73" t="str">
        <x:v>TC-A-13</x:v>
      </x:c>
      <x:c r="B15" s="74" t="str">
        <x:v>Verify whitespace search is handled safely and document whether it is trimmed or treated literally.</x:v>
      </x:c>
      <x:c r="C15" s="74" t="str">
        <x:v>GET
http://localhost:3000/api/products?search={{searchValue}}
Input: </x:v>
      </x:c>
      <x:c r="D15" s="74" t="str">
        <x:v>200; No 5xx, SQL/internal leakage, or mutation; return JSON and record the result-set behavior as exploratory.</x:v>
      </x:c>
      <x:c r="E15" s="73" t="str">
        <x:v>200 OK; all reviewed assertions passed</x:v>
      </x:c>
      <x:c r="F15" s="75" t="str">
        <x:v>PASSED</x:v>
      </x:c>
    </x:row>
    <x:row r="16" ht="43.20000076293945" hidden="0" customHeight="1">
      <x:c r="A16" s="73" t="str">
        <x:v>TC-A-14</x:v>
      </x:c>
      <x:c r="B16" s="74" t="str">
        <x:v>Search for a guaranteed non-matching keyword.</x:v>
      </x:c>
      <x:c r="C16" s="74" t="str">
        <x:v>GET
http://localhost:3000/api/products?search={{searchValue}}
Input: __NO_PRODUCT_23127234__</x:v>
      </x:c>
      <x:c r="D16" s="74" t="str">
        <x:v>200; Empty JSON array; response is not an error and no data changes.</x:v>
      </x:c>
      <x:c r="E16" s="73" t="str">
        <x:v>200 OK; all reviewed assertions passed</x:v>
      </x:c>
      <x:c r="F16" s="75" t="str">
        <x:v>PASSED</x:v>
      </x:c>
    </x:row>
    <x:row r="17" ht="43.20000076293945" hidden="0" customHeight="1">
      <x:c r="A17" s="73" t="str">
        <x:v>TC-A-15</x:v>
      </x:c>
      <x:c r="B17" s="74" t="str">
        <x:v>Search using numeric text as a name keyword.</x:v>
      </x:c>
      <x:c r="C17" s="74" t="str">
        <x:v>GET
http://localhost:3000/api/products?search={{searchValue}}
Input: 123456789</x:v>
      </x:c>
      <x:c r="D17" s="74" t="str">
        <x:v>200; JSON array, normally empty unless a name contains the digits; no conversion error or mutation.</x:v>
      </x:c>
      <x:c r="E17" s="73" t="str">
        <x:v>200 OK; all reviewed assertions passed</x:v>
      </x:c>
      <x:c r="F17" s="75" t="str">
        <x:v>PASSED</x:v>
      </x:c>
    </x:row>
    <x:row r="18" ht="43.20000076293945" hidden="0" customHeight="1">
      <x:c r="A18" s="73" t="str">
        <x:v>TC-A-16</x:v>
      </x:c>
      <x:c r="B18" s="74" t="str">
        <x:v>Search using punctuation/hyphen text.</x:v>
      </x:c>
      <x:c r="C18" s="74" t="str">
        <x:v>GET
http://localhost:3000/api/products?search={{searchValue}}
Input: Pro-Max</x:v>
      </x:c>
      <x:c r="D18" s="74" t="str">
        <x:v>200; Safe JSON response; any result is consistent with literal/observed name matching; no internal leakage.</x:v>
      </x:c>
      <x:c r="E18" s="73" t="str">
        <x:v>200 OK; all reviewed assertions passed</x:v>
      </x:c>
      <x:c r="F18" s="75" t="str">
        <x:v>PASSED</x:v>
      </x:c>
    </x:row>
    <x:row r="19" ht="43.20000076293945" hidden="0" customHeight="1">
      <x:c r="A19" s="73" t="str">
        <x:v>TC-A-17</x:v>
      </x:c>
      <x:c r="B19" s="74" t="str">
        <x:v>Verify encoded plus is parsed safely.</x:v>
      </x:c>
      <x:c r="C19" s="74" t="str">
        <x:v>GET
http://localhost:3000/api/products?search={{searchValue}}
Input: A%2BB</x:v>
      </x:c>
      <x:c r="D19" s="74" t="str">
        <x:v>200; JSON response; decoded plus does not corrupt query parsing, execute code, or leak internals.</x:v>
      </x:c>
      <x:c r="E19" s="73" t="str">
        <x:v>200 OK; all reviewed assertions passed</x:v>
      </x:c>
      <x:c r="F19" s="75" t="str">
        <x:v>PASSED</x:v>
      </x:c>
    </x:row>
    <x:row r="20" ht="43.20000076293945" hidden="0" customHeight="1">
      <x:c r="A20" s="73" t="str">
        <x:v>TC-A-18</x:v>
      </x:c>
      <x:c r="B20" s="74" t="str">
        <x:v>Verify encoded ampersand remains within the search value.</x:v>
      </x:c>
      <x:c r="C20" s="74" t="str">
        <x:v>GET
http://localhost:3000/api/products?search={{searchValue}}
Input: A%26B</x:v>
      </x:c>
      <x:c r="D20" s="74" t="str">
        <x:v>200; JSON response; encoded ampersand does not create an unintended parameter or internal error.</x:v>
      </x:c>
      <x:c r="E20" s="73" t="str">
        <x:v>200 OK; all reviewed assertions passed</x:v>
      </x:c>
      <x:c r="F20" s="75" t="str">
        <x:v>PASSED</x:v>
      </x:c>
    </x:row>
    <x:row r="21" ht="43.20000076293945" hidden="0" customHeight="1">
      <x:c r="A21" s="73" t="str">
        <x:v>TC-A-19</x:v>
      </x:c>
      <x:c r="B21" s="74" t="str">
        <x:v>Probe percent wildcard handling for safe parameterization and document matching behavior.</x:v>
      </x:c>
      <x:c r="C21" s="74" t="str">
        <x:v>GET
http://localhost:3000/api/products?search={{searchValue}}
Input: %</x:v>
      </x:c>
      <x:c r="D21" s="74" t="str">
        <x:v>200; Valid JSON; no SQL error/leakage or mutation. Record whether percent acts literally or as wildcard and assess against SEC-05 after human oracle approval.</x:v>
      </x:c>
      <x:c r="E21" s="73" t="str">
        <x:v>200 OK; all reviewed assertions passed</x:v>
      </x:c>
      <x:c r="F21" s="75" t="str">
        <x:v>PASSED</x:v>
      </x:c>
    </x:row>
    <x:row r="22" ht="43.20000076293945" hidden="0" customHeight="1">
      <x:c r="A22" s="73" t="str">
        <x:v>TC-A-20</x:v>
      </x:c>
      <x:c r="B22" s="74" t="str">
        <x:v>Probe underscore wildcard handling without imposing an unstated literal-search rule.</x:v>
      </x:c>
      <x:c r="C22" s="74" t="str">
        <x:v>GET
http://localhost:3000/api/products?search={{searchValue}}
Input: _</x:v>
      </x:c>
      <x:c r="D22" s="74" t="str">
        <x:v>200; Valid JSON, no SQL/internal leakage or mutation; observed wildcard/literal behavior is documented.</x:v>
      </x:c>
      <x:c r="E22" s="73" t="str">
        <x:v>200 OK; all reviewed assertions passed</x:v>
      </x:c>
      <x:c r="F22" s="75" t="str">
        <x:v>PASSED</x:v>
      </x:c>
    </x:row>
    <x:row r="23" ht="43.20000076293945" hidden="0" customHeight="1">
      <x:c r="A23" s="73" t="str">
        <x:v>TC-A-21</x:v>
      </x:c>
      <x:c r="B23" s="74" t="str">
        <x:v>Search using an emoji keyword.</x:v>
      </x:c>
      <x:c r="C23" s="74" t="str">
        <x:v>GET
http://localhost:3000/api/products?search={{searchValue}}
Input: 📱</x:v>
      </x:c>
      <x:c r="D23" s="74" t="str">
        <x:v>200; Valid UTF-8 JSON, no encoding/internal error, and no mutation; normally empty unless a name contains the emoji.</x:v>
      </x:c>
      <x:c r="E23" s="73" t="str">
        <x:v>200 OK; all reviewed assertions passed</x:v>
      </x:c>
      <x:c r="F23" s="75" t="str">
        <x:v>PASSED</x:v>
      </x:c>
    </x:row>
    <x:row r="24" ht="43.20000076293945" hidden="0" customHeight="1">
      <x:c r="A24" s="73" t="str">
        <x:v>TC-A-22</x:v>
      </x:c>
      <x:c r="B24" s="74" t="str">
        <x:v>Search with a 255-character keyword.</x:v>
      </x:c>
      <x:c r="C24" s="74" t="str">
        <x:v>GET
http://localhost:3000/api/products?search={{searchValue}}
Input: 255-character safe string</x:v>
      </x:c>
      <x:c r="D24" s="74" t="str">
        <x:v>200; Safe JSON response, normally empty; no truncation-related 5xx, internal leakage, or mutation.</x:v>
      </x:c>
      <x:c r="E24" s="73" t="str">
        <x:v>200 OK; all reviewed assertions passed</x:v>
      </x:c>
      <x:c r="F24" s="75" t="str">
        <x:v>PASSED</x:v>
      </x:c>
    </x:row>
    <x:row r="25" ht="43.20000076293945" hidden="0" customHeight="1">
      <x:c r="A25" s="73" t="str">
        <x:v>TC-A-23</x:v>
      </x:c>
      <x:c r="B25" s="74" t="str">
        <x:v>Verify a controlled 10,000-character query fails safely or succeeds without internal leakage; record latency as a baseline.</x:v>
      </x:c>
      <x:c r="C25" s="74" t="str">
        <x:v>GET
http://localhost:3000/api/products?search={{searchValue}}
Input: 10,000-character string</x:v>
      </x:c>
      <x:c r="D25" s="74" t="str">
        <x:v>200 or documented client 4xx; never unhandled 5xx; No crash, SQL/stack leakage, or mutation. Record response time as OBSERVATION, not pass/fail.</x:v>
      </x:c>
      <x:c r="E25" s="73" t="str">
        <x:v>200 OK; all reviewed assertions passed</x:v>
      </x:c>
      <x:c r="F25" s="75" t="str">
        <x:v>PASSED</x:v>
      </x:c>
    </x:row>
    <x:row r="26" ht="43.20000076293945" hidden="0" customHeight="1">
      <x:c r="A26" s="73" t="str">
        <x:v>TC-A-24</x:v>
      </x:c>
      <x:c r="B26" s="74" t="str">
        <x:v>Observe duplicate search-key handling and ensure it cannot trigger leakage, crash, or mutation.</x:v>
      </x:c>
      <x:c r="C26" s="74" t="str">
        <x:v>GET
http://localhost:3000/api/products?search=iPhone&amp;search=Galaxy
Input: search=iPhone&amp;search=Galaxy</x:v>
      </x:c>
      <x:c r="D26" s="74" t="str">
        <x:v>200 or documented client 4xx; never 5xx; Valid JSON or documented client 4xx; no 5xx/internal leakage/mutation. Record whether first, last, array, or combined semantics occur.</x:v>
      </x:c>
      <x:c r="E26" s="73" t="str">
        <x:v>200 OK; all reviewed assertions passed</x:v>
      </x:c>
      <x:c r="F26" s="75" t="str">
        <x:v>PASSED</x:v>
      </x:c>
    </x:row>
    <x:row r="27" ht="43.20000076293945" hidden="0" customHeight="1">
      <x:c r="A27" s="73" t="str">
        <x:v>TC-A-25</x:v>
      </x:c>
      <x:c r="B27" s="74" t="str">
        <x:v>Observe unknown-query handling while enforcing API safety invariants.</x:v>
      </x:c>
      <x:c r="C27" s="74" t="str">
        <x:v>GET
http://localhost:3000/api/products?unknown=value
Input: ?unknown=value</x:v>
      </x:c>
      <x:c r="D27" s="74" t="str">
        <x:v>200 or documented client 4xx; never 5xx; Valid JSON or documented client 4xx; no 5xx/internal leakage or mutation. Baseline equality is observational.</x:v>
      </x:c>
      <x:c r="E27" s="73" t="str">
        <x:v>200 OK; all reviewed assertions passed</x:v>
      </x:c>
      <x:c r="F27" s="75" t="str">
        <x:v>PASSED</x:v>
      </x:c>
    </x:row>
    <x:row r="28" ht="72" hidden="0" customHeight="1">
      <x:c r="A28" s="73" t="str">
        <x:v>TC-A-26</x:v>
      </x:c>
      <x:c r="B28" s="74" t="str">
        <x:v>Send a single quote and verify it is handled as data.</x:v>
      </x:c>
      <x:c r="C28" s="74" t="str">
        <x:v>GET
http://localhost:3000/api/products?search={{searchValue}}
Input: '</x:v>
      </x:c>
      <x:c r="D28" s="74" t="str">
        <x:v>200 or safe client 4xx; No SQL syntax/internal error, HTML diagnostic, mutation, or secret leakage; baseline smoke call remains available.</x:v>
      </x:c>
      <x:c r="E28" s="73" t="str">
        <x:v>500 Internal Server Error; status follows the reviewed oracle: Actual status: 500: expected [ 200, 400, 401, 403, 404, 409, …(4) ] to include 500; response does not leak server internals: expected '&lt;h1&gt;Database Error&lt;/h1&gt;&lt;p&gt;SQLITE_ERRO…' not to match /super_secret|SQLITE_(ERROR|CONSTRAINT)|Database Error|at [A-Za-z0-9_.$]+ \([^)]*server\.js:\d+/i</x:v>
      </x:c>
      <x:c r="F28" s="75" t="str">
        <x:v>FAILED</x:v>
      </x:c>
    </x:row>
    <x:row r="29" ht="43.20000076293945" hidden="0" customHeight="1">
      <x:c r="A29" s="73" t="str">
        <x:v>TC-A-27</x:v>
      </x:c>
      <x:c r="B29" s="74" t="str">
        <x:v>Attempt boolean-based SQL injection through search.</x:v>
      </x:c>
      <x:c r="C29" s="74" t="str">
        <x:v>GET
http://localhost:3000/api/products?search={{searchValue}}
Input: ' OR 1=1 --</x:v>
      </x:c>
      <x:c r="D29" s="74" t="str">
        <x:v>200 or safe client 4xx; Injection must not broaden results by executing SQL, expose internals, or mutate data; payload is treated as text.</x:v>
      </x:c>
      <x:c r="E29" s="73" t="str">
        <x:v>200 OK; injection does not broaden the result set: expected [ { id: 1, …(5) }, …(4) ] to have a length of +0 but got 5</x:v>
      </x:c>
      <x:c r="F29" s="75" t="str">
        <x:v>FAILED</x:v>
      </x:c>
    </x:row>
    <x:row r="30" ht="43.20000076293945" hidden="0" customHeight="1">
      <x:c r="A30" s="73" t="str">
        <x:v>TC-A-28</x:v>
      </x:c>
      <x:c r="B30" s="74" t="str">
        <x:v>Attempt UNION-style SQL injection.</x:v>
      </x:c>
      <x:c r="C30" s="74" t="str">
        <x:v>GET
http://localhost:3000/api/products?search={{searchValue}}
Input: ' UNION SELECT 1,2,3,4,5,6 --</x:v>
      </x:c>
      <x:c r="D30" s="74" t="str">
        <x:v>200 or safe client 4xx; No injected columns/rows, database error details, HTML diagnostics, or mutation.</x:v>
      </x:c>
      <x:c r="E30" s="73" t="str">
        <x:v>200 OK; injection does not broaden the result set: expected [ …(6) ] to have a length of +0 but got 6</x:v>
      </x:c>
      <x:c r="F30" s="75" t="str">
        <x:v>FAILED</x:v>
      </x:c>
    </x:row>
    <x:row r="31" ht="43.20000076293945" hidden="0" customHeight="1">
      <x:c r="A31" s="73" t="str">
        <x:v>TC-A-29</x:v>
      </x:c>
      <x:c r="B31" s="74" t="str">
        <x:v>Attempt destructive-looking stacked SQL input safely on the local fixture database.</x:v>
      </x:c>
      <x:c r="C31" s="74" t="str">
        <x:v>GET
http://localhost:3000/api/products?search={{searchValue}}
Input: '; DROP TABLE products; --</x:v>
      </x:c>
      <x:c r="D31" s="74" t="str">
        <x:v>200 or safe client 4xx; Products remain queryable and unchanged; no command executes; no internal leakage.</x:v>
      </x:c>
      <x:c r="E31" s="73" t="str">
        <x:v>200 OK; all reviewed assertions passed</x:v>
      </x:c>
      <x:c r="F31" s="75" t="str">
        <x:v>PASSED</x:v>
      </x:c>
    </x:row>
    <x:row r="32" ht="43.20000076293945" hidden="0" customHeight="1">
      <x:c r="A32" s="73" t="str">
        <x:v>TC-A-30</x:v>
      </x:c>
      <x:c r="B32" s="74" t="str">
        <x:v>Submit an XSS payload as the search keyword.</x:v>
      </x:c>
      <x:c r="C32" s="74" t="str">
        <x:v>GET
http://localhost:3000/api/products?search={{searchValue}}
Input: &lt;script&gt;alert(1)&lt;/script&gt;</x:v>
      </x:c>
      <x:c r="D32" s="74" t="str">
        <x:v>200 or safe client 4xx; Response remains JSON/plain data, contains no executable HTML page, and leaks no internals; API/UI execution is not claimed.</x:v>
      </x:c>
      <x:c r="E32" s="73" t="str">
        <x:v>200 OK; all reviewed assertions passed</x:v>
      </x:c>
      <x:c r="F32" s="75" t="str">
        <x:v>PASSED</x:v>
      </x:c>
    </x:row>
    <x:row r="33" ht="72" hidden="0" customHeight="1">
      <x:c r="A33" s="73" t="str">
        <x:v>TC-A-31</x:v>
      </x:c>
      <x:c r="B33" s="74" t="str">
        <x:v>Submit encoded NUL/newline/control characters.</x:v>
      </x:c>
      <x:c r="C33" s="74" t="str">
        <x:v>GET
http://localhost:3000/api/products?search={{searchValue}}
Input: %00%0A%0D</x:v>
      </x:c>
      <x:c r="D33" s="74" t="str">
        <x:v>200 or safe client 4xx; No crash, header splitting, HTML/internal leakage, or mutation; response follows declared content type.</x:v>
      </x:c>
      <x:c r="E33" s="73" t="str">
        <x:v>500 Internal Server Error; status follows the reviewed oracle: Actual status: 500: expected [ 200, 400, 401, 403, 404, 409, …(4) ] to include 500; response does not leak server internals: expected '&lt;h1&gt;Database Error&lt;/h1&gt;&lt;p&gt;SQLITE_ERRO…' not to match /super_secret|SQLITE_(ERROR|CONSTRAINT)|Database Error|at [A-Za-z0-9_.$]+ \([^)]*server\.js:\d+/i</x:v>
      </x:c>
      <x:c r="F33" s="75" t="str">
        <x:v>FAILED</x:v>
      </x:c>
    </x:row>
    <x:row r="34" ht="43.20000076293945" hidden="0" customHeight="1">
      <x:c r="A34" s="73" t="str">
        <x:v>TC-A-32</x:v>
      </x:c>
      <x:c r="B34" s="74" t="str">
        <x:v>Verify an unsupported method is rejected without mutating products.</x:v>
      </x:c>
      <x:c r="C34" s="74" t="str">
        <x:v>PATCH
http://localhost:3000/api/products
Input: PATCH /api/products without body</x:v>
      </x:c>
      <x:c r="D34" s="74" t="str">
        <x:v>404 or 405; Client error; no product mutation; no internal leakage. Record the router's status policy.</x:v>
      </x:c>
      <x:c r="E34" s="73" t="str">
        <x:v>200 OK; all reviewed assertions passed</x:v>
      </x:c>
      <x:c r="F34" s="75" t="str">
        <x:v>PASSED</x:v>
      </x:c>
    </x:row>
    <x:row r="35" ht="43.20000076293945" hidden="0" customHeight="1">
      <x:c r="A35" s="73" t="str">
        <x:v>TC-A-33</x:v>
      </x:c>
      <x:c r="B35" s="74" t="str">
        <x:v>Verify successful product list declares JSON content type.</x:v>
      </x:c>
      <x:c r="C35" s="74" t="str">
        <x:v>GET
http://localhost:3000/api/products
Input: &lt;omitted&gt;</x:v>
      </x:c>
      <x:c r="D35" s="74" t="str">
        <x:v>200; Content-Type contains application/json and body parses as JSON array.</x:v>
      </x:c>
      <x:c r="E35" s="73" t="str">
        <x:v>200 OK; all reviewed assertions passed</x:v>
      </x:c>
      <x:c r="F35" s="75" t="str">
        <x:v>PASSED</x:v>
      </x:c>
    </x:row>
    <x:row r="36" ht="43.20000076293945" hidden="0" customHeight="1">
      <x:c r="A36" s="73" t="str">
        <x:v>TC-A-34</x:v>
      </x:c>
      <x:c r="B36" s="74" t="str">
        <x:v>Validate the reviewed minimum product item schema and flag schema drift separately.</x:v>
      </x:c>
      <x:c r="C36" s="74" t="str">
        <x:v>GET
http://localhost:3000/api/products
Input: &lt;omitted&gt;</x:v>
      </x:c>
      <x:c r="D36" s="74" t="str">
        <x:v>200; Array; every item has integer id/category_id, non-empty name, positive numeric price, and string/null description/imageUrl. Extra fields are recorded pending A-006 approval.</x:v>
      </x:c>
      <x:c r="E36" s="73" t="str">
        <x:v>200 OK; all reviewed assertions passed</x:v>
      </x:c>
      <x:c r="F36" s="75" t="str">
        <x:v>PASSED</x:v>
      </x:c>
    </x:row>
    <x:row r="37" ht="43.20000076293945" hidden="0" customHeight="1">
      <x:c r="A37" s="73" t="str">
        <x:v>TC-A-35</x:v>
      </x:c>
      <x:c r="B37" s="74" t="str">
        <x:v>Validate product-list data integrity and confidentiality.</x:v>
      </x:c>
      <x:c r="C37" s="74" t="str">
        <x:v>GET
http://localhost:3000/api/products
Input: &lt;omitted&gt;</x:v>
      </x:c>
      <x:c r="D37" s="74" t="str">
        <x:v>200; IDs are positive and unique within response; names non-empty; prices positive numbers; categories positive IDs; no password/token/reset/role fields.</x:v>
      </x:c>
      <x:c r="E37" s="73" t="str">
        <x:v>200 OK; all reviewed assertions passed</x:v>
      </x:c>
      <x:c r="F37" s="75" t="str">
        <x:v>PASSED</x:v>
      </x:c>
    </x:row>
    <x:row r="38" ht="14.399999618530273" hidden="0" customHeight="1">
      <x:c r="A38" s="76" t="str">
        <x:v>POOL B — FR-10 ORDER STATE MACHINE</x:v>
      </x:c>
      <x:c r="B38" s="76"/>
      <x:c r="C38" s="76"/>
      <x:c r="D38" s="76"/>
      <x:c r="E38" s="76"/>
      <x:c r="F38" s="76"/>
    </x:row>
    <x:row r="39" ht="43.20000076293945" hidden="0" customHeight="1">
      <x:c r="A39" s="73" t="str">
        <x:v>TC-B-01</x:v>
      </x:c>
      <x:c r="B39" s="74" t="str">
        <x:v>Cancel an own pending order.</x:v>
      </x:c>
      <x:c r="C39" s="74" t="str">
        <x:v>PUT
http://localhost:3000/api/orders/{{orderIdPendingCancel}}/cancel
Input: No body</x:v>
      </x:c>
      <x:c r="D39" s="74" t="str">
        <x:v>200; JSON success; read-back status is canceled; owner and unrelated order unchanged.</x:v>
      </x:c>
      <x:c r="E39" s="73" t="str">
        <x:v>200 OK; all reviewed assertions passed</x:v>
      </x:c>
      <x:c r="F39" s="75" t="str">
        <x:v>PASSED</x:v>
      </x:c>
    </x:row>
    <x:row r="40" ht="43.20000076293945" hidden="0" customHeight="1">
      <x:c r="A40" s="73" t="str">
        <x:v>TC-B-02</x:v>
      </x:c>
      <x:c r="B40" s="74" t="str">
        <x:v>Cancel an own confirmed order.</x:v>
      </x:c>
      <x:c r="C40" s="74" t="str">
        <x:v>PUT
http://localhost:3000/api/orders/{{orderIdConfirmedCancel}}/cancel
Input: No body</x:v>
      </x:c>
      <x:c r="D40" s="74" t="str">
        <x:v>200; JSON success; stored status becomes canceled.</x:v>
      </x:c>
      <x:c r="E40" s="73" t="str">
        <x:v>200 OK; all reviewed assertions passed</x:v>
      </x:c>
      <x:c r="F40" s="75" t="str">
        <x:v>PASSED</x:v>
      </x:c>
    </x:row>
    <x:row r="41" ht="43.20000076293945" hidden="0" customHeight="1">
      <x:c r="A41" s="73" t="str">
        <x:v>TC-B-03</x:v>
      </x:c>
      <x:c r="B41" s="74" t="str">
        <x:v>Reject owner cancellation of a shipping order.</x:v>
      </x:c>
      <x:c r="C41" s="74" t="str">
        <x:v>PUT
http://localhost:3000/api/orders/{{orderIdShippingReject}}/cancel
Input: No body</x:v>
      </x:c>
      <x:c r="D41" s="74" t="str">
        <x:v>400; JSON error; stored status remains shipping.</x:v>
      </x:c>
      <x:c r="E41" s="73" t="str">
        <x:v>200 OK; status follows the reviewed oracle: Actual status: 200: expected [ 400 ] to include 200; persisted order state is shipping: expected 'canceled' to deeply equal 'shipping'</x:v>
      </x:c>
      <x:c r="F41" s="75" t="str">
        <x:v>FAILED</x:v>
      </x:c>
    </x:row>
    <x:row r="42" ht="43.20000076293945" hidden="0" customHeight="1">
      <x:c r="A42" s="73" t="str">
        <x:v>TC-B-04</x:v>
      </x:c>
      <x:c r="B42" s="74" t="str">
        <x:v>Reject cancellation of a delivered order.</x:v>
      </x:c>
      <x:c r="C42" s="74" t="str">
        <x:v>PUT
http://localhost:3000/api/orders/{{orderIdDeliveredReject}}/cancel
Input: No body</x:v>
      </x:c>
      <x:c r="D42" s="74" t="str">
        <x:v>400; JSON error; delivered remains unchanged.</x:v>
      </x:c>
      <x:c r="E42" s="73" t="str">
        <x:v>200 OK; all reviewed assertions passed</x:v>
      </x:c>
      <x:c r="F42" s="75" t="str">
        <x:v>PASSED</x:v>
      </x:c>
    </x:row>
    <x:row r="43" ht="39.599998474121094" hidden="0" customHeight="1">
      <x:c r="A43" s="82" t="str">
        <x:v>TC-B-05</x:v>
      </x:c>
      <x:c r="B43" s="77" t="str">
        <x:v>Reject a second cancellation of an already canceled order.</x:v>
      </x:c>
      <x:c r="C43" s="77" t="str">
        <x:v>PUT
http://localhost:3000/api/orders/{{orderIdCanceledReject}}/cancel
Input: No body</x:v>
      </x:c>
      <x:c r="D43" s="78" t="str">
        <x:v>400; JSON error; state remains canceled and no duplicate side effect.</x:v>
      </x:c>
      <x:c r="E43" s="79" t="str">
        <x:v>200 OK; all reviewed assertions passed</x:v>
      </x:c>
      <x:c r="F43" s="83" t="str">
        <x:v>PASSED</x:v>
      </x:c>
    </x:row>
    <x:row r="44" ht="50.400001525878906" hidden="0" customHeight="1">
      <x:c r="A44" s="80" t="str">
        <x:v>TC-B-06</x:v>
      </x:c>
      <x:c r="B44" s="81" t="str">
        <x:v>Cancel a nonexistent positive order ID.</x:v>
      </x:c>
      <x:c r="C44" s="81" t="str">
        <x:v>PUT
http://localhost:3000/api/orders/999999999/cancel
Input: No body</x:v>
      </x:c>
      <x:c r="D44" s="81" t="str">
        <x:v>404; Non-leaking JSON not-found error; no order changes.</x:v>
      </x:c>
      <x:c r="E44" s="81" t="str">
        <x:v>404 Not Found; all reviewed assertions passed</x:v>
      </x:c>
      <x:c r="F44" s="84" t="str">
        <x:v>PASSED</x:v>
      </x:c>
    </x:row>
    <x:row r="45" ht="43.20000076293945" hidden="0" customHeight="1">
      <x:c r="A45" s="73" t="str">
        <x:v>TC-B-07</x:v>
      </x:c>
      <x:c r="B45" s="74" t="str">
        <x:v>Attempt to cancel user B's pending order with user A token.</x:v>
      </x:c>
      <x:c r="C45" s="74" t="str">
        <x:v>PUT
http://localhost:3000/api/orders/{{orderIdOtherUser}}/cancel
Input: No body</x:v>
      </x:c>
      <x:c r="D45" s="74" t="str">
        <x:v>404 under proposed A-010 policy; Generic not-found/non-disclosing JSON; no owner/status details; user B's order remains pending.</x:v>
      </x:c>
      <x:c r="E45" s="73" t="str">
        <x:v>200 OK; all reviewed assertions passed</x:v>
      </x:c>
      <x:c r="F45" s="75" t="str">
        <x:v>PASSED</x:v>
      </x:c>
    </x:row>
    <x:row r="46" ht="43.20000076293945" hidden="0" customHeight="1">
      <x:c r="A46" s="73" t="str">
        <x:v>TC-B-08</x:v>
      </x:c>
      <x:c r="B46" s="74" t="str">
        <x:v>Cancel order ID zero.</x:v>
      </x:c>
      <x:c r="C46" s="74" t="str">
        <x:v>PUT
http://localhost:3000/api/orders/0/cancel
Input: No body</x:v>
      </x:c>
      <x:c r="D46" s="74" t="str">
        <x:v>400 or 404; Client error without SQL/internal leakage; no state mutation.</x:v>
      </x:c>
      <x:c r="E46" s="73" t="str">
        <x:v>404 Not Found; all reviewed assertions passed</x:v>
      </x:c>
      <x:c r="F46" s="75" t="str">
        <x:v>PASSED</x:v>
      </x:c>
    </x:row>
    <x:row r="47" ht="43.20000076293945" hidden="0" customHeight="1">
      <x:c r="A47" s="73" t="str">
        <x:v>TC-B-09</x:v>
      </x:c>
      <x:c r="B47" s="74" t="str">
        <x:v>Cancel negative order ID.</x:v>
      </x:c>
      <x:c r="C47" s="74" t="str">
        <x:v>PUT
http://localhost:3000/api/orders/-1/cancel
Input: No body</x:v>
      </x:c>
      <x:c r="D47" s="74" t="str">
        <x:v>400 or 404; Client error; no leakage or mutation.</x:v>
      </x:c>
      <x:c r="E47" s="73" t="str">
        <x:v>404 Not Found; all reviewed assertions passed</x:v>
      </x:c>
      <x:c r="F47" s="75" t="str">
        <x:v>PASSED</x:v>
      </x:c>
    </x:row>
    <x:row r="48" ht="43.20000076293945" hidden="0" customHeight="1">
      <x:c r="A48" s="73" t="str">
        <x:v>TC-B-10</x:v>
      </x:c>
      <x:c r="B48" s="74" t="str">
        <x:v>Cancel nonnumeric order ID.</x:v>
      </x:c>
      <x:c r="C48" s="74" t="str">
        <x:v>PUT
http://localhost:3000/api/orders/abc/cancel
Input: No body</x:v>
      </x:c>
      <x:c r="D48" s="74" t="str">
        <x:v>400 or 404; Client error, no SQL/internal leakage, no mutation.</x:v>
      </x:c>
      <x:c r="E48" s="73" t="str">
        <x:v>404 Not Found; all reviewed assertions passed</x:v>
      </x:c>
      <x:c r="F48" s="75" t="str">
        <x:v>PASSED</x:v>
      </x:c>
    </x:row>
    <x:row r="49" ht="43.20000076293945" hidden="0" customHeight="1">
      <x:c r="A49" s="73" t="str">
        <x:v>TC-B-11</x:v>
      </x:c>
      <x:c r="B49" s="74" t="str">
        <x:v>Cancel an extremely large numeric ID.</x:v>
      </x:c>
      <x:c r="C49" s="74" t="str">
        <x:v>PUT
http://localhost:3000/api/orders/999999999999999999999/cancel
Input: No body</x:v>
      </x:c>
      <x:c r="D49" s="74" t="str">
        <x:v>400 or 404; Safe client error; no precision-related cross-order mutation or leakage.</x:v>
      </x:c>
      <x:c r="E49" s="73" t="str">
        <x:v>404 Not Found; all reviewed assertions passed</x:v>
      </x:c>
      <x:c r="F49" s="75" t="str">
        <x:v>PASSED</x:v>
      </x:c>
    </x:row>
    <x:row r="50" ht="43.20000076293945" hidden="0" customHeight="1">
      <x:c r="A50" s="73" t="str">
        <x:v>TC-B-12</x:v>
      </x:c>
      <x:c r="B50" s="74" t="str">
        <x:v>Call cancel without Authorization.</x:v>
      </x:c>
      <x:c r="C50" s="74" t="str">
        <x:v>PUT
http://localhost:3000/api/orders/{{orderIdPendingAuth}}/cancel
Input: No body</x:v>
      </x:c>
      <x:c r="D50" s="74" t="str">
        <x:v>401; Unauthorized JSON; order remains pending.</x:v>
      </x:c>
      <x:c r="E50" s="73" t="str">
        <x:v>200 OK; all reviewed assertions passed</x:v>
      </x:c>
      <x:c r="F50" s="75" t="str">
        <x:v>PASSED</x:v>
      </x:c>
    </x:row>
    <x:row r="51" ht="43.20000076293945" hidden="0" customHeight="1">
      <x:c r="A51" s="73" t="str">
        <x:v>TC-B-13</x:v>
      </x:c>
      <x:c r="B51" s="74" t="str">
        <x:v>Call cancel with empty Bearer token.</x:v>
      </x:c>
      <x:c r="C51" s="74" t="str">
        <x:v>PUT
http://localhost:3000/api/orders/{{orderIdPendingAuth}}/cancel
Input: No body</x:v>
      </x:c>
      <x:c r="D51" s="74" t="str">
        <x:v>401 or 403; Authentication error; order unchanged; no token parsing details.</x:v>
      </x:c>
      <x:c r="E51" s="73" t="str">
        <x:v>200 OK; all reviewed assertions passed</x:v>
      </x:c>
      <x:c r="F51" s="75" t="str">
        <x:v>PASSED</x:v>
      </x:c>
    </x:row>
    <x:row r="52" ht="43.20000076293945" hidden="0" customHeight="1">
      <x:c r="A52" s="73" t="str">
        <x:v>TC-B-14</x:v>
      </x:c>
      <x:c r="B52" s="74" t="str">
        <x:v>Call cancel with Basic scheme instead of Bearer.</x:v>
      </x:c>
      <x:c r="C52" s="74" t="str">
        <x:v>PUT
http://localhost:3000/api/orders/{{orderIdPendingAuth}}/cancel
Input: No body</x:v>
      </x:c>
      <x:c r="D52" s="74" t="str">
        <x:v>401; Unauthorized; no state change.</x:v>
      </x:c>
      <x:c r="E52" s="73" t="str">
        <x:v>403 Forbidden; status follows the reviewed oracle: Actual status: 403: expected [ 401 ] to include 403</x:v>
      </x:c>
      <x:c r="F52" s="75" t="str">
        <x:v>FAILED</x:v>
      </x:c>
    </x:row>
    <x:row r="53" ht="43.20000076293945" hidden="0" customHeight="1">
      <x:c r="A53" s="73" t="str">
        <x:v>TC-B-15</x:v>
      </x:c>
      <x:c r="B53" s="74" t="str">
        <x:v>Call cancel with a tampered JWT signature.</x:v>
      </x:c>
      <x:c r="C53" s="74" t="str">
        <x:v>PUT
http://localhost:3000/api/orders/{{orderIdPendingAuth}}/cancel
Input: No body</x:v>
      </x:c>
      <x:c r="D53" s="74" t="str">
        <x:v>403; Forbidden/authentication error; order remains pending; no secret leakage.</x:v>
      </x:c>
      <x:c r="E53" s="73" t="str">
        <x:v>200 OK; all reviewed assertions passed</x:v>
      </x:c>
      <x:c r="F53" s="75" t="str">
        <x:v>PASSED</x:v>
      </x:c>
    </x:row>
    <x:row r="54" ht="43.20000076293945" hidden="0" customHeight="1">
      <x:c r="A54" s="73" t="str">
        <x:v>TC-B-16</x:v>
      </x:c>
      <x:c r="B54" s="74" t="str">
        <x:v>Use normal user token on admin status endpoint.</x:v>
      </x:c>
      <x:c r="C54" s="74" t="str">
        <x:v>PUT
http://localhost:3000/api/admin/orders/{{orderIdRoleCheck}}/status
Input: {"status":"confirmed"}</x:v>
      </x:c>
      <x:c r="D54" s="74" t="str">
        <x:v>403; Role error; stored state remains pending.</x:v>
      </x:c>
      <x:c r="E54" s="73" t="str">
        <x:v>200 OK; status follows the reviewed oracle: Actual status: 200: expected [ 403 ] to include 200; persisted order state is pending: expected 'confirmed' to deeply equal 'pending'</x:v>
      </x:c>
      <x:c r="F54" s="75" t="str">
        <x:v>FAILED</x:v>
      </x:c>
    </x:row>
    <x:row r="55" ht="43.20000076293945" hidden="0" customHeight="1">
      <x:c r="A55" s="73" t="str">
        <x:v>TC-B-17</x:v>
      </x:c>
      <x:c r="B55" s="74" t="str">
        <x:v>Admin transitions pending to confirmed.</x:v>
      </x:c>
      <x:c r="C55" s="74" t="str">
        <x:v>PUT
http://localhost:3000/api/admin/orders/{{orderIdFullForward}}/status
Input: {"status":"confirmed"}</x:v>
      </x:c>
      <x:c r="D55" s="74" t="str">
        <x:v>200; Success JSON; stored state confirmed.</x:v>
      </x:c>
      <x:c r="E55" s="73" t="str">
        <x:v>200 OK; all reviewed assertions passed</x:v>
      </x:c>
      <x:c r="F55" s="75" t="str">
        <x:v>PASSED</x:v>
      </x:c>
    </x:row>
    <x:row r="56" ht="43.20000076293945" hidden="0" customHeight="1">
      <x:c r="A56" s="73" t="str">
        <x:v>TC-B-18</x:v>
      </x:c>
      <x:c r="B56" s="74" t="str">
        <x:v>Admin transitions confirmed to shipping.</x:v>
      </x:c>
      <x:c r="C56" s="74" t="str">
        <x:v>PUT
http://localhost:3000/api/admin/orders/{{orderIdFullForward}}/status
Input: {"status":"shipping"}</x:v>
      </x:c>
      <x:c r="D56" s="74" t="str">
        <x:v>200; Success JSON; stored state shipping.</x:v>
      </x:c>
      <x:c r="E56" s="73" t="str">
        <x:v>200 OK; all reviewed assertions passed</x:v>
      </x:c>
      <x:c r="F56" s="75" t="str">
        <x:v>PASSED</x:v>
      </x:c>
    </x:row>
    <x:row r="57" ht="43.20000076293945" hidden="0" customHeight="1">
      <x:c r="A57" s="73" t="str">
        <x:v>TC-B-19</x:v>
      </x:c>
      <x:c r="B57" s="74" t="str">
        <x:v>Admin transitions shipping to delivered.</x:v>
      </x:c>
      <x:c r="C57" s="74" t="str">
        <x:v>PUT
http://localhost:3000/api/admin/orders/{{orderIdFullForward}}/status
Input: {"status":"delivered"}</x:v>
      </x:c>
      <x:c r="D57" s="74" t="str">
        <x:v>200; Success JSON; stored state delivered and final.</x:v>
      </x:c>
      <x:c r="E57" s="73" t="str">
        <x:v>200 OK; all reviewed assertions passed</x:v>
      </x:c>
      <x:c r="F57" s="75" t="str">
        <x:v>PASSED</x:v>
      </x:c>
    </x:row>
    <x:row r="58" ht="57.599998474121094" hidden="0" customHeight="1">
      <x:c r="A58" s="73" t="str">
        <x:v>TC-B-20</x:v>
      </x:c>
      <x:c r="B58" s="74" t="str">
        <x:v>Admin transitions pending to canceled.</x:v>
      </x:c>
      <x:c r="C58" s="74" t="str">
        <x:v>PUT
http://localhost:3000/api/admin/orders/{{orderIdPendingAdminCancel}}/status
Input: {"status":"canceled"}</x:v>
      </x:c>
      <x:c r="D58" s="74" t="str">
        <x:v>200; Success; stored state canceled and final.</x:v>
      </x:c>
      <x:c r="E58" s="73" t="str">
        <x:v>200 OK; all reviewed assertions passed</x:v>
      </x:c>
      <x:c r="F58" s="75" t="str">
        <x:v>PASSED</x:v>
      </x:c>
    </x:row>
    <x:row r="59" ht="57.599998474121094" hidden="0" customHeight="1">
      <x:c r="A59" s="73" t="str">
        <x:v>TC-B-21</x:v>
      </x:c>
      <x:c r="B59" s="74" t="str">
        <x:v>Admin transitions confirmed to canceled.</x:v>
      </x:c>
      <x:c r="C59" s="74" t="str">
        <x:v>PUT
http://localhost:3000/api/admin/orders/{{orderIdConfirmedAdminCancel}}/status
Input: {"status":"canceled"}</x:v>
      </x:c>
      <x:c r="D59" s="74" t="str">
        <x:v>200; Success; stored state canceled and final.</x:v>
      </x:c>
      <x:c r="E59" s="73" t="str">
        <x:v>200 OK; all reviewed assertions passed</x:v>
      </x:c>
      <x:c r="F59" s="75" t="str">
        <x:v>PASSED</x:v>
      </x:c>
    </x:row>
    <x:row r="60" ht="57.599998474121094" hidden="0" customHeight="1">
      <x:c r="A60" s="73" t="str">
        <x:v>TC-B-22</x:v>
      </x:c>
      <x:c r="B60" s="74" t="str">
        <x:v>Reject pending to shipping.</x:v>
      </x:c>
      <x:c r="C60" s="74" t="str">
        <x:v>PUT
http://localhost:3000/api/admin/orders/{{orderIdPendingInvalid1}}/status
Input: {"status":"shipping"}</x:v>
      </x:c>
      <x:c r="D60" s="74" t="str">
        <x:v>400; Error; state remains pending.</x:v>
      </x:c>
      <x:c r="E60" s="73" t="str">
        <x:v>200 OK; all reviewed assertions passed</x:v>
      </x:c>
      <x:c r="F60" s="75" t="str">
        <x:v>PASSED</x:v>
      </x:c>
    </x:row>
    <x:row r="61" ht="57.599998474121094" hidden="0" customHeight="1">
      <x:c r="A61" s="73" t="str">
        <x:v>TC-B-23</x:v>
      </x:c>
      <x:c r="B61" s="74" t="str">
        <x:v>Reject pending to delivered.</x:v>
      </x:c>
      <x:c r="C61" s="74" t="str">
        <x:v>PUT
http://localhost:3000/api/admin/orders/{{orderIdPendingInvalid2}}/status
Input: {"status":"delivered"}</x:v>
      </x:c>
      <x:c r="D61" s="74" t="str">
        <x:v>400; Error; state remains pending.</x:v>
      </x:c>
      <x:c r="E61" s="73" t="str">
        <x:v>200 OK; all reviewed assertions passed</x:v>
      </x:c>
      <x:c r="F61" s="75" t="str">
        <x:v>PASSED</x:v>
      </x:c>
    </x:row>
    <x:row r="62" ht="57.599998474121094" hidden="0" customHeight="1">
      <x:c r="A62" s="73" t="str">
        <x:v>TC-B-24</x:v>
      </x:c>
      <x:c r="B62" s="74" t="str">
        <x:v>Reject confirmed to delivered.</x:v>
      </x:c>
      <x:c r="C62" s="74" t="str">
        <x:v>PUT
http://localhost:3000/api/admin/orders/{{orderIdConfirmedInvalid}}/status
Input: {"status":"delivered"}</x:v>
      </x:c>
      <x:c r="D62" s="74" t="str">
        <x:v>400; Error; state remains confirmed.</x:v>
      </x:c>
      <x:c r="E62" s="73" t="str">
        <x:v>200 OK; all reviewed assertions passed</x:v>
      </x:c>
      <x:c r="F62" s="75" t="str">
        <x:v>PASSED</x:v>
      </x:c>
    </x:row>
    <x:row r="63" ht="57.599998474121094" hidden="0" customHeight="1">
      <x:c r="A63" s="73" t="str">
        <x:v>TC-B-25</x:v>
      </x:c>
      <x:c r="B63" s="74" t="str">
        <x:v>Reject shipping to pending.</x:v>
      </x:c>
      <x:c r="C63" s="74" t="str">
        <x:v>PUT
http://localhost:3000/api/admin/orders/{{orderIdShippingInvalid1}}/status
Input: {"status":"pending"}</x:v>
      </x:c>
      <x:c r="D63" s="74" t="str">
        <x:v>400; Error; state remains shipping.</x:v>
      </x:c>
      <x:c r="E63" s="73" t="str">
        <x:v>200 OK; all reviewed assertions passed</x:v>
      </x:c>
      <x:c r="F63" s="75" t="str">
        <x:v>PASSED</x:v>
      </x:c>
    </x:row>
    <x:row r="64" ht="57.599998474121094" hidden="0" customHeight="1">
      <x:c r="A64" s="73" t="str">
        <x:v>TC-B-26</x:v>
      </x:c>
      <x:c r="B64" s="74" t="str">
        <x:v>Reject shipping to confirmed.</x:v>
      </x:c>
      <x:c r="C64" s="74" t="str">
        <x:v>PUT
http://localhost:3000/api/admin/orders/{{orderIdShippingInvalid2}}/status
Input: {"status":"confirmed"}</x:v>
      </x:c>
      <x:c r="D64" s="74" t="str">
        <x:v>400; Error; state remains shipping.</x:v>
      </x:c>
      <x:c r="E64" s="73" t="str">
        <x:v>200 OK; all reviewed assertions passed</x:v>
      </x:c>
      <x:c r="F64" s="75" t="str">
        <x:v>PASSED</x:v>
      </x:c>
    </x:row>
    <x:row r="65" ht="57.599998474121094" hidden="0" customHeight="1">
      <x:c r="A65" s="73" t="str">
        <x:v>TC-B-27</x:v>
      </x:c>
      <x:c r="B65" s="74" t="str">
        <x:v>Reject admin shipping-to-canceled transition under the explicit state graph.</x:v>
      </x:c>
      <x:c r="C65" s="74" t="str">
        <x:v>PUT
http://localhost:3000/api/admin/orders/{{orderIdShippingAdminCancel}}/status
Input: {"status":"canceled"}</x:v>
      </x:c>
      <x:c r="D65" s="74" t="str">
        <x:v>400; JSON invalid-transition error; stored state remains shipping.</x:v>
      </x:c>
      <x:c r="E65" s="73" t="str">
        <x:v>200 OK; all reviewed assertions passed</x:v>
      </x:c>
      <x:c r="F65" s="75" t="str">
        <x:v>PASSED</x:v>
      </x:c>
    </x:row>
    <x:row r="66" ht="57.599998474121094" hidden="0" customHeight="1">
      <x:c r="A66" s="73" t="str">
        <x:v>TC-B-28</x:v>
      </x:c>
      <x:c r="B66" s="74" t="str">
        <x:v>Reject delivered to pending.</x:v>
      </x:c>
      <x:c r="C66" s="74" t="str">
        <x:v>PUT
http://localhost:3000/api/admin/orders/{{orderIdDeliveredFinal}}/status
Input: {"status":"pending"}</x:v>
      </x:c>
      <x:c r="D66" s="74" t="str">
        <x:v>400; Error; delivered remains unchanged.</x:v>
      </x:c>
      <x:c r="E66" s="73" t="str">
        <x:v>200 OK; all reviewed assertions passed</x:v>
      </x:c>
      <x:c r="F66" s="75" t="str">
        <x:v>PASSED</x:v>
      </x:c>
    </x:row>
    <x:row r="67" ht="57.599998474121094" hidden="0" customHeight="1">
      <x:c r="A67" s="73" t="str">
        <x:v>TC-B-29</x:v>
      </x:c>
      <x:c r="B67" s="74" t="str">
        <x:v>Reject canceled-to-delivered because canceled is final.</x:v>
      </x:c>
      <x:c r="C67" s="74" t="str">
        <x:v>PUT
http://localhost:3000/api/admin/orders/{{orderIdCanceledFinal}}/status
Input: {"status":"delivered"}</x:v>
      </x:c>
      <x:c r="D67" s="74" t="str">
        <x:v>400; Invalid-transition JSON; state remains canceled.</x:v>
      </x:c>
      <x:c r="E67" s="73" t="str">
        <x:v>200 OK; status follows the reviewed oracle: Actual status: 200: expected [ 400 ] to include 200; persisted order state is canceled: expected 'delivered' to deeply equal 'canceled'</x:v>
      </x:c>
      <x:c r="F67" s="75" t="str">
        <x:v>FAILED</x:v>
      </x:c>
    </x:row>
    <x:row r="68" ht="43.20000076293945" hidden="0" customHeight="1">
      <x:c r="A68" s="73" t="str">
        <x:v>TC-B-30</x:v>
      </x:c>
      <x:c r="B68" s="74" t="str">
        <x:v>Reject pending-to-pending as a non-edge state update.</x:v>
      </x:c>
      <x:c r="C68" s="74" t="str">
        <x:v>PUT
http://localhost:3000/api/admin/orders/{{orderIdSameState}}/status
Input: {"status":"pending"}</x:v>
      </x:c>
      <x:c r="D68" s="74" t="str">
        <x:v>400; Invalid-transition JSON; state remains pending.</x:v>
      </x:c>
      <x:c r="E68" s="73" t="str">
        <x:v>200 OK; all reviewed assertions passed</x:v>
      </x:c>
      <x:c r="F68" s="75" t="str">
        <x:v>PASSED</x:v>
      </x:c>
    </x:row>
    <x:row r="69" ht="57.599998474121094" hidden="0" customHeight="1">
      <x:c r="A69" s="73" t="str">
        <x:v>TC-B-31</x:v>
      </x:c>
      <x:c r="B69" s="74" t="str">
        <x:v>Reject unknown status value.</x:v>
      </x:c>
      <x:c r="C69" s="74" t="str">
        <x:v>PUT
http://localhost:3000/api/admin/orders/{{orderIdInvalidStatus}}/status
Input: {"status":"refunded"}</x:v>
      </x:c>
      <x:c r="D69" s="74" t="str">
        <x:v>400; Invalid-transition/input JSON; state remains pending.</x:v>
      </x:c>
      <x:c r="E69" s="73" t="str">
        <x:v>200 OK; all reviewed assertions passed</x:v>
      </x:c>
      <x:c r="F69" s="75" t="str">
        <x:v>PASSED</x:v>
      </x:c>
    </x:row>
    <x:row r="70" ht="57.599998474121094" hidden="0" customHeight="1">
      <x:c r="A70" s="73" t="str">
        <x:v>TC-B-32</x:v>
      </x:c>
      <x:c r="B70" s="74" t="str">
        <x:v>Reject missing status property.</x:v>
      </x:c>
      <x:c r="C70" s="74" t="str">
        <x:v>PUT
http://localhost:3000/api/admin/orders/{{orderIdMissingStatus}}/status
Input: {}</x:v>
      </x:c>
      <x:c r="D70" s="74" t="str">
        <x:v>400; Client error; state remains pending; no internal leakage.</x:v>
      </x:c>
      <x:c r="E70" s="73" t="str">
        <x:v>200 OK; all reviewed assertions passed</x:v>
      </x:c>
      <x:c r="F70" s="75" t="str">
        <x:v>PASSED</x:v>
      </x:c>
    </x:row>
    <x:row r="71" ht="43.20000076293945" hidden="0" customHeight="1">
      <x:c r="A71" s="73" t="str">
        <x:v>TC-B-33</x:v>
      </x:c>
      <x:c r="B71" s="74" t="str">
        <x:v>Reject null status.</x:v>
      </x:c>
      <x:c r="C71" s="74" t="str">
        <x:v>PUT
http://localhost:3000/api/admin/orders/{{orderIdNullStatus}}/status
Input: {"status":null}</x:v>
      </x:c>
      <x:c r="D71" s="74" t="str">
        <x:v>400; Client error; state remains pending.</x:v>
      </x:c>
      <x:c r="E71" s="73" t="str">
        <x:v>200 OK; all reviewed assertions passed</x:v>
      </x:c>
      <x:c r="F71" s="75" t="str">
        <x:v>PASSED</x:v>
      </x:c>
    </x:row>
    <x:row r="72" ht="43.20000076293945" hidden="0" customHeight="1">
      <x:c r="A72" s="73" t="str">
        <x:v>TC-B-34</x:v>
      </x:c>
      <x:c r="B72" s="74" t="str">
        <x:v>Run two concurrent owner cancellations and verify safe final-state integrity.</x:v>
      </x:c>
      <x:c r="C72" s="74" t="str">
        <x:v>PUT x2 concurrently
http://localhost:3000/api/orders/{{orderIdConcurrent}}/cancel
Input: No body</x:v>
      </x:c>
      <x:c r="D72" s="74" t="str">
        <x:v>At least one 200; other 200 or 400; never 5xx; Final state is exactly canceled; no cross-order mutation/corruption. Response combination is recorded as a reliability observation.</x:v>
      </x:c>
      <x:c r="E72" s="73" t="str">
        <x:v>200 OK; all reviewed assertions passed</x:v>
      </x:c>
      <x:c r="F72" s="75" t="str">
        <x:v>PASSED</x:v>
      </x:c>
    </x:row>
    <x:row r="73" ht="43.20000076293945" hidden="0" customHeight="1">
      <x:c r="A73" s="73" t="str">
        <x:v>TC-B-35</x:v>
      </x:c>
      <x:c r="B73" s="74" t="str">
        <x:v>Validate cancel success contract and persisted postconditions comprehensively.</x:v>
      </x:c>
      <x:c r="C73" s="74" t="str">
        <x:v>PUT
http://localhost:3000/api/orders/{{orderIdSchema}}/cancel
Input: No body</x:v>
      </x:c>
      <x:c r="D73" s="74" t="str">
        <x:v>200; 200 application/json; body matches approved success schema; read-back status canceled; owner unchanged; sampled unrelated order unchanged.</x:v>
      </x:c>
      <x:c r="E73" s="73" t="str">
        <x:v>200 OK; all reviewed assertions passed</x:v>
      </x:c>
      <x:c r="F73" s="75" t="str">
        <x:v>PASSED</x:v>
      </x:c>
    </x:row>
    <x:row r="74" ht="57.599998474121094" hidden="0" customHeight="1">
      <x:c r="A74" s="73" t="str">
        <x:v>TC-B-36</x:v>
      </x:c>
      <x:c r="B74" s="74" t="str">
        <x:v>Verify that an expired owner JWT cannot cancel an order.</x:v>
      </x:c>
      <x:c r="C74" s="74" t="str">
        <x:v>PUT
http://localhost:3000/api/orders/{{orderIdExpiredToken}}/cancel
Input: No body</x:v>
      </x:c>
      <x:c r="D74" s="74" t="str">
        <x:v>403 under the reviewed invalid-token policy; never 2xx; Generic authentication error; target remains pending; unrelated order is unchanged; response exposes no JWT payload, signing detail, stack trace, or secret.</x:v>
      </x:c>
      <x:c r="E74" s="73" t="str">
        <x:v>200 OK; all reviewed assertions passed</x:v>
      </x:c>
      <x:c r="F74" s="75" t="str">
        <x:v>PASSED</x:v>
      </x:c>
    </x:row>
    <x:row r="75" ht="57.599998474121094" hidden="0" customHeight="1">
      <x:c r="A75" s="73" t="str">
        <x:v>TC-B-37</x:v>
      </x:c>
      <x:c r="B75" s="74" t="str">
        <x:v>Verify the admin status API rejects the missing backward edge confirmed → pending.</x:v>
      </x:c>
      <x:c r="C75" s="74" t="str">
        <x:v>PUT
http://localhost:3000/api/admin/orders/{{orderIdConfirmedBackward}}/status
Input: {"status":"pending"}</x:v>
      </x:c>
      <x:c r="D75" s="74" t="str">
        <x:v>400; Invalid-transition JSON; persisted state remains confirmed; no cross-order mutation or internal leakage.</x:v>
      </x:c>
      <x:c r="E75" s="73" t="str">
        <x:v>200 OK; all reviewed assertions passed</x:v>
      </x:c>
      <x:c r="F75" s="75" t="str">
        <x:v>PASSED</x:v>
      </x:c>
    </x:row>
    <x:row r="76" ht="57.599998474121094" hidden="0" customHeight="1">
      <x:c r="A76" s="73" t="str">
        <x:v>TC-B-38</x:v>
      </x:c>
      <x:c r="B76" s="74" t="str">
        <x:v>Verify the admin status API cannot move a delivered final-state order to canceled.</x:v>
      </x:c>
      <x:c r="C76" s="74" t="str">
        <x:v>PUT
http://localhost:3000/api/admin/orders/{{orderIdDeliveredToCanceled}}/status
Input: {"status":"canceled"}</x:v>
      </x:c>
      <x:c r="D76" s="74" t="str">
        <x:v>400; Invalid-transition JSON; delivered remains unchanged because it is final; no refund/cancellation side effect or internal leakage.</x:v>
      </x:c>
      <x:c r="E76" s="73" t="str">
        <x:v>200 OK; all reviewed assertions passed</x:v>
      </x:c>
      <x:c r="F76" s="75" t="str">
        <x:v>PASSED</x:v>
      </x:c>
    </x:row>
    <x:row r="77" ht="100.80000305175781" hidden="0" customHeight="1">
      <x:c r="A77" s="73" t="str">
        <x:v>TC-B-39</x:v>
      </x:c>
      <x:c r="B77" s="74" t="str">
        <x:v>Verify a simultaneous pending → confirmed admin update and owner pending/confirmed → canceled request cannot lose the valid cancellation or corrupt state.</x:v>
      </x:c>
      <x:c r="C77" s="74" t="str">
        <x:v>PUT concurrently
http://localhost:3000/api/admin/orders/{{orderIdConfirmCancelRace}}/status
and
http://localhost:3000/api/orders/{{orderIdConfirmCancelRace}}/cancel
Input: Admin body: {"status":"confirmed"}
Owner body: none</x:v>
      </x:c>
      <x:c r="D77" s="74" t="str">
        <x:v>Owner cancel: 200; admin update: 200 or 400; never 5xx; Final target state is exactly canceled for every run; no lost update, illegal state, duplicate side effect, or cross-order mutation occurs. The response combination is recorded for concurrency diagnosis.</x:v>
      </x:c>
      <x:c r="E77" s="73" t="str">
        <x:v>200 OK; all reviewed assertions passed</x:v>
      </x:c>
      <x:c r="F77" s="75" t="str">
        <x:v>PASSED</x:v>
      </x:c>
    </x:row>
    <x:row r="78" ht="14.399999618530273" hidden="0" customHeight="1">
      <x:c r="A78" s="76" t="str">
        <x:v>POOL C — FR-15 PRODUCT MANAGEMENT</x:v>
      </x:c>
      <x:c r="B78" s="76"/>
      <x:c r="C78" s="76"/>
      <x:c r="D78" s="76"/>
      <x:c r="E78" s="76"/>
      <x:c r="F78" s="76"/>
    </x:row>
    <x:row r="79" ht="72" hidden="0" customHeight="1">
      <x:c r="A79" s="83" t="str">
        <x:v>TC-C-01</x:v>
      </x:c>
      <x:c r="B79" s="78" t="str">
        <x:v>Create a product with all documented fields and verify schema/read-back/cleanup.</x:v>
      </x:c>
      <x:c r="C79" s="78" t="str">
        <x:v>POST
http://localhost:3000/api/products
Input: {"name": "HW06 Full {{uniqueSuffix}}", "price":100000, "description": "Full product", "imageUrl": "https://example.test/p.png", "category_id":{{categoryId}}}</x:v>
      </x:c>
      <x:c r="D79" s="78" t="str">
        <x:v>200; Success JSON with generated positive id; GET matches intended fields; unrelated product unchanged; cleanup succeeds.</x:v>
      </x:c>
      <x:c r="E79" s="79" t="str">
        <x:v>200 OK; read-back matches the reviewed product schema: expected '100000' to be a number</x:v>
      </x:c>
      <x:c r="F79" s="83" t="str">
        <x:v>FAILED</x:v>
      </x:c>
    </x:row>
    <x:row r="80" ht="67.19999694824219" hidden="0" customHeight="1">
      <x:c r="A80" s="80" t="str">
        <x:v>TC-C-02</x:v>
      </x:c>
      <x:c r="B80" s="81" t="str">
        <x:v>Create using only required name, price, and existing category.</x:v>
      </x:c>
      <x:c r="C80" s="81" t="str">
        <x:v>POST
http://localhost:3000/api/products
Input: {"name": "HW06 Min {{uniqueSuffix}}", "price":1, "category_id":{{categoryId}}}</x:v>
      </x:c>
      <x:c r="D80" s="81" t="str">
        <x:v>200; Create succeeds under A-007; optionals absent/null on read-back; cleanup succeeds.</x:v>
      </x:c>
      <x:c r="E80" s="81" t="str">
        <x:v>200 OK; all reviewed assertions passed</x:v>
      </x:c>
      <x:c r="F80" s="84" t="str">
        <x:v>PASSED</x:v>
      </x:c>
    </x:row>
    <x:row r="81" ht="43.20000076293945" hidden="0" customHeight="1">
      <x:c r="A81" s="73" t="str">
        <x:v>TC-C-03</x:v>
      </x:c>
      <x:c r="B81" s="74" t="str">
        <x:v>Create with a one-character name.</x:v>
      </x:c>
      <x:c r="C81" s="74" t="str">
        <x:v>POST
http://localhost:3000/api/products
Input: {"name": "A", "price":1000, "category_id":{{categoryId}}}</x:v>
      </x:c>
      <x:c r="D81" s="74" t="str">
        <x:v>200; Accepted; stored name is A; cleanup succeeds.</x:v>
      </x:c>
      <x:c r="E81" s="73" t="str">
        <x:v>200 OK; all reviewed assertions passed</x:v>
      </x:c>
      <x:c r="F81" s="75" t="str">
        <x:v>PASSED</x:v>
      </x:c>
    </x:row>
    <x:row r="82" ht="57.599998474121094" hidden="0" customHeight="1">
      <x:c r="A82" s="73" t="str">
        <x:v>TC-C-04</x:v>
      </x:c>
      <x:c r="B82" s="74" t="str">
        <x:v>Create with exactly 255 characters in name.</x:v>
      </x:c>
      <x:c r="C82" s="74" t="str">
        <x:v>POST
http://localhost:3000/api/products
Input: {"name": "{{name255}}", "price":1000, "category_id":{{categoryId}}}</x:v>
      </x:c>
      <x:c r="D82" s="74" t="str">
        <x:v>200; Accepted with exact 255-character stored name; cleanup succeeds.</x:v>
      </x:c>
      <x:c r="E82" s="73" t="str">
        <x:v>200 OK; all reviewed assertions passed</x:v>
      </x:c>
      <x:c r="F82" s="75" t="str">
        <x:v>PASSED</x:v>
      </x:c>
    </x:row>
    <x:row r="83" ht="43.20000076293945" hidden="0" customHeight="1">
      <x:c r="A83" s="73" t="str">
        <x:v>TC-C-05</x:v>
      </x:c>
      <x:c r="B83" s="74" t="str">
        <x:v>Reject missing name.</x:v>
      </x:c>
      <x:c r="C83" s="74" t="str">
        <x:v>POST
http://localhost:3000/api/products
Input: {"price":1000, "category_id":{{categoryId}}}</x:v>
      </x:c>
      <x:c r="D83" s="74" t="str">
        <x:v>400; JSON validation error; no row inserted.</x:v>
      </x:c>
      <x:c r="E83" s="73" t="str">
        <x:v>200 OK; status follows the reviewed oracle: Actual status: 200: expected [ 400 ] to include 200</x:v>
      </x:c>
      <x:c r="F83" s="75" t="str">
        <x:v>FAILED</x:v>
      </x:c>
    </x:row>
    <x:row r="84" ht="43.20000076293945" hidden="0" customHeight="1">
      <x:c r="A84" s="73" t="str">
        <x:v>TC-C-06</x:v>
      </x:c>
      <x:c r="B84" s="74" t="str">
        <x:v>Reject null name.</x:v>
      </x:c>
      <x:c r="C84" s="74" t="str">
        <x:v>POST
http://localhost:3000/api/products
Input: {"name":null, "price":1000, "category_id":{{categoryId}}}</x:v>
      </x:c>
      <x:c r="D84" s="74" t="str">
        <x:v>400; Validation error; no row inserted.</x:v>
      </x:c>
      <x:c r="E84" s="73" t="str">
        <x:v>200 OK; status follows the reviewed oracle: Actual status: 200: expected [ 400 ] to include 200</x:v>
      </x:c>
      <x:c r="F84" s="75" t="str">
        <x:v>FAILED</x:v>
      </x:c>
    </x:row>
    <x:row r="85" ht="43.20000076293945" hidden="0" customHeight="1">
      <x:c r="A85" s="73" t="str">
        <x:v>TC-C-07</x:v>
      </x:c>
      <x:c r="B85" s="74" t="str">
        <x:v>Reject empty-string name.</x:v>
      </x:c>
      <x:c r="C85" s="74" t="str">
        <x:v>POST
http://localhost:3000/api/products
Input: {"name": "", "price":1000, "category_id":{{categoryId}}}</x:v>
      </x:c>
      <x:c r="D85" s="74" t="str">
        <x:v>400; Validation error; no row inserted.</x:v>
      </x:c>
      <x:c r="E85" s="73" t="str">
        <x:v>200 OK; status follows the reviewed oracle: Actual status: 200: expected [ 400 ] to include 200</x:v>
      </x:c>
      <x:c r="F85" s="75" t="str">
        <x:v>FAILED</x:v>
      </x:c>
    </x:row>
    <x:row r="86" ht="43.20000076293945" hidden="0" customHeight="1">
      <x:c r="A86" s="73" t="str">
        <x:v>TC-C-08</x:v>
      </x:c>
      <x:c r="B86" s="74" t="str">
        <x:v>Reject whitespace-only name after trimming.</x:v>
      </x:c>
      <x:c r="C86" s="74" t="str">
        <x:v>POST
http://localhost:3000/api/products
Input: {"name": "   ", "price":1000, "category_id":{{categoryId}}}</x:v>
      </x:c>
      <x:c r="D86" s="74" t="str">
        <x:v>400; Validation error; no blank product row.</x:v>
      </x:c>
      <x:c r="E86" s="73" t="str">
        <x:v>200 OK; status follows the reviewed oracle: Actual status: 200: expected [ 400 ] to include 200</x:v>
      </x:c>
      <x:c r="F86" s="75" t="str">
        <x:v>FAILED</x:v>
      </x:c>
    </x:row>
    <x:row r="87" ht="57.599998474121094" hidden="0" customHeight="1">
      <x:c r="A87" s="73" t="str">
        <x:v>TC-C-09</x:v>
      </x:c>
      <x:c r="B87" s="74" t="str">
        <x:v>Reject a 256-character name.</x:v>
      </x:c>
      <x:c r="C87" s="74" t="str">
        <x:v>POST
http://localhost:3000/api/products
Input: {"name": "{{name256}}", "price":1000, "category_id":{{categoryId}}}</x:v>
      </x:c>
      <x:c r="D87" s="74" t="str">
        <x:v>400; Validation error; no row inserted.</x:v>
      </x:c>
      <x:c r="E87" s="73" t="str">
        <x:v>200 OK; status follows the reviewed oracle: Actual status: 200: expected [ 400 ] to include 200</x:v>
      </x:c>
      <x:c r="F87" s="75" t="str">
        <x:v>FAILED</x:v>
      </x:c>
    </x:row>
    <x:row r="88" ht="57.599998474121094" hidden="0" customHeight="1">
      <x:c r="A88" s="73" t="str">
        <x:v>TC-C-10</x:v>
      </x:c>
      <x:c r="B88" s="74" t="str">
        <x:v>Create a valid Vietnamese/Unicode product name.</x:v>
      </x:c>
      <x:c r="C88" s="74" t="str">
        <x:v>POST
http://localhost:3000/api/products
Input: {"name": "Điện thoại thử nghiệm {{uniqueSuffix}}", "price":1000, "category_id":{{categoryId}}}</x:v>
      </x:c>
      <x:c r="D88" s="74" t="str">
        <x:v>200; Accepted without encoding corruption; exact name read back; cleanup succeeds.</x:v>
      </x:c>
      <x:c r="E88" s="73" t="str">
        <x:v>200 OK; all reviewed assertions passed</x:v>
      </x:c>
      <x:c r="F88" s="75" t="str">
        <x:v>PASSED</x:v>
      </x:c>
    </x:row>
    <x:row r="89" ht="57.599998474121094" hidden="0" customHeight="1">
      <x:c r="A89" s="73" t="str">
        <x:v>TC-C-11</x:v>
      </x:c>
      <x:c r="B89" s="74" t="str">
        <x:v>Reject missing price.</x:v>
      </x:c>
      <x:c r="C89" s="74" t="str">
        <x:v>POST
http://localhost:3000/api/products
Input: {"name": "No Price {{uniqueSuffix}}", "category_id":{{categoryId}}}</x:v>
      </x:c>
      <x:c r="D89" s="74" t="str">
        <x:v>400; Validation error; no row inserted.</x:v>
      </x:c>
      <x:c r="E89" s="73" t="str">
        <x:v>200 OK; status follows the reviewed oracle: Actual status: 200: expected [ 400 ] to include 200</x:v>
      </x:c>
      <x:c r="F89" s="75" t="str">
        <x:v>FAILED</x:v>
      </x:c>
    </x:row>
    <x:row r="90" ht="57.599998474121094" hidden="0" customHeight="1">
      <x:c r="A90" s="73" t="str">
        <x:v>TC-C-12</x:v>
      </x:c>
      <x:c r="B90" s="74" t="str">
        <x:v>Reject null price.</x:v>
      </x:c>
      <x:c r="C90" s="74" t="str">
        <x:v>POST
http://localhost:3000/api/products
Input: {"name": "Null Price {{uniqueSuffix}}", "price":null, "category_id":{{categoryId}}}</x:v>
      </x:c>
      <x:c r="D90" s="74" t="str">
        <x:v>400; Validation error; no row inserted.</x:v>
      </x:c>
      <x:c r="E90" s="73" t="str">
        <x:v>200 OK; status follows the reviewed oracle: Actual status: 200: expected [ 400 ] to include 200</x:v>
      </x:c>
      <x:c r="F90" s="75" t="str">
        <x:v>FAILED</x:v>
      </x:c>
    </x:row>
    <x:row r="91" ht="57.599998474121094" hidden="0" customHeight="1">
      <x:c r="A91" s="73" t="str">
        <x:v>TC-C-13</x:v>
      </x:c>
      <x:c r="B91" s="74" t="str">
        <x:v>Reject price zero.</x:v>
      </x:c>
      <x:c r="C91" s="74" t="str">
        <x:v>POST
http://localhost:3000/api/products
Input: {"name": "Zero Price {{uniqueSuffix}}", "price":0, "category_id":{{categoryId}}}</x:v>
      </x:c>
      <x:c r="D91" s="74" t="str">
        <x:v>400; Validation error; no row inserted.</x:v>
      </x:c>
      <x:c r="E91" s="73" t="str">
        <x:v>200 OK; status follows the reviewed oracle: Actual status: 200: expected [ 400 ] to include 200</x:v>
      </x:c>
      <x:c r="F91" s="75" t="str">
        <x:v>FAILED</x:v>
      </x:c>
    </x:row>
    <x:row r="92" ht="57.599998474121094" hidden="0" customHeight="1">
      <x:c r="A92" s="73" t="str">
        <x:v>TC-C-14</x:v>
      </x:c>
      <x:c r="B92" s="74" t="str">
        <x:v>Reject negative price.</x:v>
      </x:c>
      <x:c r="C92" s="74" t="str">
        <x:v>POST
http://localhost:3000/api/products
Input: {"name": "Negative Price {{uniqueSuffix}}", "price":-1, "category_id":{{categoryId}}}</x:v>
      </x:c>
      <x:c r="D92" s="74" t="str">
        <x:v>400; Validation error; no row inserted.</x:v>
      </x:c>
      <x:c r="E92" s="73" t="str">
        <x:v>200 OK; status follows the reviewed oracle: Actual status: 200: expected [ 400 ] to include 200</x:v>
      </x:c>
      <x:c r="F92" s="75" t="str">
        <x:v>FAILED</x:v>
      </x:c>
    </x:row>
    <x:row r="93" ht="57.599998474121094" hidden="0" customHeight="1">
      <x:c r="A93" s="73" t="str">
        <x:v>TC-C-15</x:v>
      </x:c>
      <x:c r="B93" s="74" t="str">
        <x:v>Accept a positive integer price.</x:v>
      </x:c>
      <x:c r="C93" s="74" t="str">
        <x:v>POST
http://localhost:3000/api/products
Input: {"name": "Positive Price {{uniqueSuffix}}", "price":1, "category_id":{{categoryId}}}</x:v>
      </x:c>
      <x:c r="D93" s="74" t="str">
        <x:v>200; Created; read-back price is numeric 1; cleanup succeeds.</x:v>
      </x:c>
      <x:c r="E93" s="73" t="str">
        <x:v>200 OK; all reviewed assertions passed</x:v>
      </x:c>
      <x:c r="F93" s="75" t="str">
        <x:v>PASSED</x:v>
      </x:c>
    </x:row>
    <x:row r="94" ht="57.599998474121094" hidden="0" customHeight="1">
      <x:c r="A94" s="73" t="str">
        <x:v>TC-C-16</x:v>
      </x:c>
      <x:c r="B94" s="74" t="str">
        <x:v>Verify a positive decimal price according to the documented number &gt; 0 rule.</x:v>
      </x:c>
      <x:c r="C94" s="74" t="str">
        <x:v>POST
http://localhost:3000/api/products
Input: {"name": "Decimal Price {{uniqueSuffix}}", "price":1.5, "category_id":{{categoryId}}}</x:v>
      </x:c>
      <x:c r="D94" s="74" t="str">
        <x:v>200 under the literal requirement; mark result for A-008 confirmation; Created product preserves a positive numeric price without truncation; cleanup succeeds. If policy rejects decimals, update the requirement before changing the oracle.</x:v>
      </x:c>
      <x:c r="E94" s="73" t="str">
        <x:v>200 OK; all reviewed assertions passed</x:v>
      </x:c>
      <x:c r="F94" s="75" t="str">
        <x:v>PASSED</x:v>
      </x:c>
    </x:row>
    <x:row r="95" ht="57.599998474121094" hidden="0" customHeight="1">
      <x:c r="A95" s="73" t="str">
        <x:v>TC-C-17</x:v>
      </x:c>
      <x:c r="B95" s="74" t="str">
        <x:v>Reject numeric-string price.</x:v>
      </x:c>
      <x:c r="C95" s="74" t="str">
        <x:v>POST
http://localhost:3000/api/products
Input: {"name": "String Price {{uniqueSuffix}}", "price": "1000", "category_id":{{categoryId}}}</x:v>
      </x:c>
      <x:c r="D95" s="74" t="str">
        <x:v>400; Validation error; no implicit string coercion/insertion.</x:v>
      </x:c>
      <x:c r="E95" s="73" t="str">
        <x:v>200 OK; status follows the reviewed oracle: Actual status: 200: expected [ 400 ] to include 200</x:v>
      </x:c>
      <x:c r="F95" s="75" t="str">
        <x:v>FAILED</x:v>
      </x:c>
    </x:row>
    <x:row r="96" ht="57.599998474121094" hidden="0" customHeight="1">
      <x:c r="A96" s="73" t="str">
        <x:v>TC-C-18</x:v>
      </x:c>
      <x:c r="B96" s="74" t="str">
        <x:v>Reject Boolean price.</x:v>
      </x:c>
      <x:c r="C96" s="74" t="str">
        <x:v>POST
http://localhost:3000/api/products
Input: {"name": "Boolean Price {{uniqueSuffix}}", "price":true, "category_id":{{categoryId}}}</x:v>
      </x:c>
      <x:c r="D96" s="74" t="str">
        <x:v>400; Validation error; no row inserted.</x:v>
      </x:c>
      <x:c r="E96" s="73" t="str">
        <x:v>200 OK; status follows the reviewed oracle: Actual status: 200: expected [ 400 ] to include 200</x:v>
      </x:c>
      <x:c r="F96" s="75" t="str">
        <x:v>FAILED</x:v>
      </x:c>
    </x:row>
    <x:row r="97" ht="57.599998474121094" hidden="0" customHeight="1">
      <x:c r="A97" s="73" t="str">
        <x:v>TC-C-19</x:v>
      </x:c>
      <x:c r="B97" s="74" t="str">
        <x:v>Create with a very large positive safe integer price.</x:v>
      </x:c>
      <x:c r="C97" s="74" t="str">
        <x:v>POST
http://localhost:3000/api/products
Input: {"name": "Large Price {{uniqueSuffix}}", "price":9007199254740991, "category_id":{{categoryId}}}</x:v>
      </x:c>
      <x:c r="D97" s="74" t="str">
        <x:v>200 or documented 400; No unhandled 5xx/overflow or silent precision corruption; if accepted, exact numeric round-trip; if rejected, documented validation and no row.</x:v>
      </x:c>
      <x:c r="E97" s="73" t="str">
        <x:v>200 OK; all reviewed assertions passed</x:v>
      </x:c>
      <x:c r="F97" s="75" t="str">
        <x:v>PASSED</x:v>
      </x:c>
    </x:row>
    <x:row r="98" ht="43.20000076293945" hidden="0" customHeight="1">
      <x:c r="A98" s="73" t="str">
        <x:v>TC-C-20</x:v>
      </x:c>
      <x:c r="B98" s="74" t="str">
        <x:v>Reject missing category_id.</x:v>
      </x:c>
      <x:c r="C98" s="74" t="str">
        <x:v>POST
http://localhost:3000/api/products
Input: {"name": "No Category {{uniqueSuffix}}", "price":1000}</x:v>
      </x:c>
      <x:c r="D98" s="74" t="str">
        <x:v>400; Validation error; no row inserted.</x:v>
      </x:c>
      <x:c r="E98" s="73" t="str">
        <x:v>200 OK; status follows the reviewed oracle: Actual status: 200: expected [ 400 ] to include 200</x:v>
      </x:c>
      <x:c r="F98" s="75" t="str">
        <x:v>FAILED</x:v>
      </x:c>
    </x:row>
    <x:row r="99" ht="57.599998474121094" hidden="0" customHeight="1">
      <x:c r="A99" s="73" t="str">
        <x:v>TC-C-21</x:v>
      </x:c>
      <x:c r="B99" s="74" t="str">
        <x:v>Reject null category_id.</x:v>
      </x:c>
      <x:c r="C99" s="74" t="str">
        <x:v>POST
http://localhost:3000/api/products
Input: {"name": "Null Category {{uniqueSuffix}}", "price":1000, "category_id":null}</x:v>
      </x:c>
      <x:c r="D99" s="74" t="str">
        <x:v>400; Validation error; no row inserted.</x:v>
      </x:c>
      <x:c r="E99" s="73" t="str">
        <x:v>200 OK; status follows the reviewed oracle: Actual status: 200: expected [ 400 ] to include 200</x:v>
      </x:c>
      <x:c r="F99" s="75" t="str">
        <x:v>FAILED</x:v>
      </x:c>
    </x:row>
    <x:row r="100" ht="57.599998474121094" hidden="0" customHeight="1">
      <x:c r="A100" s="73" t="str">
        <x:v>TC-C-22</x:v>
      </x:c>
      <x:c r="B100" s="74" t="str">
        <x:v>Reject nonexistent positive category.</x:v>
      </x:c>
      <x:c r="C100" s="74" t="str">
        <x:v>POST
http://localhost:3000/api/products
Input: {"name": "Bad Category {{uniqueSuffix}}", "price":1000, "category_id":999999999}</x:v>
      </x:c>
      <x:c r="D100" s="74" t="str">
        <x:v>400; Validation error; no orphan product inserted.</x:v>
      </x:c>
      <x:c r="E100" s="73" t="str">
        <x:v>200 OK; status follows the reviewed oracle: Actual status: 200: expected [ 400 ] to include 200</x:v>
      </x:c>
      <x:c r="F100" s="75" t="str">
        <x:v>FAILED</x:v>
      </x:c>
    </x:row>
    <x:row r="101" ht="57.599998474121094" hidden="0" customHeight="1">
      <x:c r="A101" s="73" t="str">
        <x:v>TC-C-23</x:v>
      </x:c>
      <x:c r="B101" s="74" t="str">
        <x:v>Reject category ID zero.</x:v>
      </x:c>
      <x:c r="C101" s="74" t="str">
        <x:v>POST
http://localhost:3000/api/products
Input: {"name": "Zero Category {{uniqueSuffix}}", "price":1000, "category_id":0}</x:v>
      </x:c>
      <x:c r="D101" s="74" t="str">
        <x:v>400; Validation error; no row inserted.</x:v>
      </x:c>
      <x:c r="E101" s="73" t="str">
        <x:v>200 OK; status follows the reviewed oracle: Actual status: 200: expected [ 400 ] to include 200</x:v>
      </x:c>
      <x:c r="F101" s="75" t="str">
        <x:v>FAILED</x:v>
      </x:c>
    </x:row>
    <x:row r="102" ht="57.599998474121094" hidden="0" customHeight="1">
      <x:c r="A102" s="73" t="str">
        <x:v>TC-C-24</x:v>
      </x:c>
      <x:c r="B102" s="74" t="str">
        <x:v>Reject negative category ID.</x:v>
      </x:c>
      <x:c r="C102" s="74" t="str">
        <x:v>POST
http://localhost:3000/api/products
Input: {"name": "Negative Category {{uniqueSuffix}}", "price":1000, "category_id":-1}</x:v>
      </x:c>
      <x:c r="D102" s="74" t="str">
        <x:v>400; Validation error; no row inserted.</x:v>
      </x:c>
      <x:c r="E102" s="73" t="str">
        <x:v>200 OK; status follows the reviewed oracle: Actual status: 200: expected [ 400 ] to include 200</x:v>
      </x:c>
      <x:c r="F102" s="75" t="str">
        <x:v>FAILED</x:v>
      </x:c>
    </x:row>
    <x:row r="103" ht="57.599998474121094" hidden="0" customHeight="1">
      <x:c r="A103" s="73" t="str">
        <x:v>TC-C-25</x:v>
      </x:c>
      <x:c r="B103" s="74" t="str">
        <x:v>Reject string category ID.</x:v>
      </x:c>
      <x:c r="C103" s="74" t="str">
        <x:v>POST
http://localhost:3000/api/products
Input: {"name": "String Category {{uniqueSuffix}}", "price":1000, "category_id": "1"}</x:v>
      </x:c>
      <x:c r="D103" s="74" t="str">
        <x:v>400; Validation error; no implicit coercion/insertion.</x:v>
      </x:c>
      <x:c r="E103" s="73" t="str">
        <x:v>200 OK; status follows the reviewed oracle: Actual status: 200: expected [ 400 ] to include 200</x:v>
      </x:c>
      <x:c r="F103" s="75" t="str">
        <x:v>FAILED</x:v>
      </x:c>
    </x:row>
    <x:row r="104" ht="57.599998474121094" hidden="0" customHeight="1">
      <x:c r="A104" s="73" t="str">
        <x:v>TC-C-26</x:v>
      </x:c>
      <x:c r="B104" s="74" t="str">
        <x:v>Create with empty description and imageUrl strings.</x:v>
      </x:c>
      <x:c r="C104" s="74" t="str">
        <x:v>POST
http://localhost:3000/api/products
Input: {"name": "Optional Empty {{uniqueSuffix}}", "price":1000, "description": "", "imageUrl": "", "category_id":{{categoryId}}}</x:v>
      </x:c>
      <x:c r="D104" s="74" t="str">
        <x:v>200; Accepted under A-007; read-back preserves or consistently normalizes empty optional strings; cleanup succeeds.</x:v>
      </x:c>
      <x:c r="E104" s="73" t="str">
        <x:v>200 OK; all reviewed assertions passed</x:v>
      </x:c>
      <x:c r="F104" s="75" t="str">
        <x:v>PASSED</x:v>
      </x:c>
    </x:row>
    <x:row r="105" ht="57.599998474121094" hidden="0" customHeight="1">
      <x:c r="A105" s="73" t="str">
        <x:v>TC-C-27</x:v>
      </x:c>
      <x:c r="B105" s="74" t="str">
        <x:v>Create with explicit null description and imageUrl.</x:v>
      </x:c>
      <x:c r="C105" s="74" t="str">
        <x:v>POST
http://localhost:3000/api/products
Input: {"name": "Optional Null {{uniqueSuffix}}", "price":1000, "description":null, "imageUrl":null, "category_id":{{categoryId}}}</x:v>
      </x:c>
      <x:c r="D105" s="74" t="str">
        <x:v>200; Accepted under A-007; null values read back consistently; cleanup succeeds.</x:v>
      </x:c>
      <x:c r="E105" s="73" t="str">
        <x:v>200 OK; all reviewed assertions passed</x:v>
      </x:c>
      <x:c r="F105" s="75" t="str">
        <x:v>PASSED</x:v>
      </x:c>
    </x:row>
    <x:row r="106" ht="57.599998474121094" hidden="0" customHeight="1">
      <x:c r="A106" s="73" t="str">
        <x:v>TC-C-28</x:v>
      </x:c>
      <x:c r="B106" s="74" t="str">
        <x:v>Verify a non-URL string is handled according to the documented optional-string contract.</x:v>
      </x:c>
      <x:c r="C106" s="74" t="str">
        <x:v>POST
http://localhost:3000/api/products
Input: {"name": "Bad URL {{uniqueSuffix}}", "price":1000, "imageUrl": "not-a-url", "category_id":{{categoryId}}}</x:v>
      </x:c>
      <x:c r="D106" s="74" t="str">
        <x:v>200 under A-007; Created product stores the string as data without server-side fetch/execution; cleanup succeeds. If URL validation is desired, add a requirement first.</x:v>
      </x:c>
      <x:c r="E106" s="73" t="str">
        <x:v>200 OK; all reviewed assertions passed</x:v>
      </x:c>
      <x:c r="F106" s="75" t="str">
        <x:v>PASSED</x:v>
      </x:c>
    </x:row>
    <x:row r="107" ht="43.20000076293945" hidden="0" customHeight="1">
      <x:c r="A107" s="73" t="str">
        <x:v>TC-C-29</x:v>
      </x:c>
      <x:c r="B107" s="74" t="str">
        <x:v>Observe duplicate-name behavior without treating duplicates as a defect.</x:v>
      </x:c>
      <x:c r="C107" s="74" t="str">
        <x:v>POST
http://localhost:3000/api/products
Input: Create two valid products with identical unique name.</x:v>
      </x:c>
      <x:c r="D107" s="74" t="str">
        <x:v>Record 2xx or documented 4xx; never 5xx; Document duplicate policy. If accepted, each generated ID is distinct and both fixtures are cleaned; no uniqueness defect is filed.</x:v>
      </x:c>
      <x:c r="E107" s="73" t="str">
        <x:v>200 OK; all reviewed assertions passed</x:v>
      </x:c>
      <x:c r="F107" s="75" t="str">
        <x:v>PASSED</x:v>
      </x:c>
    </x:row>
    <x:row r="108" ht="43.20000076293945" hidden="0" customHeight="1">
      <x:c r="A108" s="73" t="str">
        <x:v>TC-C-30</x:v>
      </x:c>
      <x:c r="B108" s="74" t="str">
        <x:v>Reject malformed JSON body.</x:v>
      </x:c>
      <x:c r="C108" s="74" t="str">
        <x:v>POST
http://localhost:3000/api/products
Input: {"name":"Broken","price":1000,</x:v>
      </x:c>
      <x:c r="D108" s="74" t="str">
        <x:v>400; Client JSON parse error without stack/path leakage; no row inserted.</x:v>
      </x:c>
      <x:c r="E108" s="73" t="str">
        <x:v>200 OK; all reviewed assertions passed</x:v>
      </x:c>
      <x:c r="F108" s="75" t="str">
        <x:v>PASSED</x:v>
      </x:c>
    </x:row>
    <x:row r="109" ht="43.20000076293945" hidden="0" customHeight="1">
      <x:c r="A109" s="73" t="str">
        <x:v>TC-C-31</x:v>
      </x:c>
      <x:c r="B109" s="74" t="str">
        <x:v>Verify wrong media type is safely rejected without insertion.</x:v>
      </x:c>
      <x:c r="C109" s="74" t="str">
        <x:v>POST
http://localhost:3000/api/products
Input: Valid product JSON bytes with Content-Type: text/plain</x:v>
      </x:c>
      <x:c r="D109" s="74" t="str">
        <x:v>400 or 415; Client error; no product inserted; no stack/parser internals leaked.</x:v>
      </x:c>
      <x:c r="E109" s="73" t="str">
        <x:v>500 Internal Server Error; status follows the reviewed oracle: Actual status: 500: expected [ 400, 415 ] to include 500; response uses JSON content type: expected 'text/html; charset=utf-8' to include 'application/json'</x:v>
      </x:c>
      <x:c r="F109" s="75" t="str">
        <x:v>FAILED</x:v>
      </x:c>
    </x:row>
    <x:row r="110" ht="57.599998474121094" hidden="0" customHeight="1">
      <x:c r="A110" s="73" t="str">
        <x:v>TC-C-32</x:v>
      </x:c>
      <x:c r="B110" s="74" t="str">
        <x:v>Probe unexpected id/role properties for broken object-property authorization.</x:v>
      </x:c>
      <x:c r="C110" s="74" t="str">
        <x:v>POST
http://localhost:3000/api/products
Input: {"id":1, "role": "admin", "name": "Mass Assign {{uniqueSuffix}}", "price":1000, "category_id":{{categoryId}}}</x:v>
      </x:c>
      <x:c r="D110" s="74" t="str">
        <x:v>400 or 200 with safe ignore under A-019; If rejected, no row. If accepted, server generates its own ID, role is ignored/not stored, intended product fields remain correct, and cleanup succeeds.</x:v>
      </x:c>
      <x:c r="E110" s="73" t="str">
        <x:v>200 OK; all reviewed assertions passed</x:v>
      </x:c>
      <x:c r="F110" s="75" t="str">
        <x:v>PASSED</x:v>
      </x:c>
    </x:row>
    <x:row r="111" ht="57.599998474121094" hidden="0" customHeight="1">
      <x:c r="A111" s="73" t="str">
        <x:v>TC-C-33</x:v>
      </x:c>
      <x:c r="B111" s="74" t="str">
        <x:v>Attempt product creation without Authorization.</x:v>
      </x:c>
      <x:c r="C111" s="74" t="str">
        <x:v>POST
http://localhost:3000/api/products
Input: {"name": "No Auth {{uniqueSuffix}}", "price":1000, "category_id":{{categoryId}}}</x:v>
      </x:c>
      <x:c r="D111" s="74" t="str">
        <x:v>401; Unauthorized JSON; no row inserted.</x:v>
      </x:c>
      <x:c r="E111" s="73" t="str">
        <x:v>200 OK; status follows the reviewed oracle: Actual status: 200: expected [ 401 ] to include 200</x:v>
      </x:c>
      <x:c r="F111" s="75" t="str">
        <x:v>FAILED</x:v>
      </x:c>
    </x:row>
    <x:row r="112" ht="57.599998474121094" hidden="0" customHeight="1">
      <x:c r="A112" s="73" t="str">
        <x:v>TC-C-34</x:v>
      </x:c>
      <x:c r="B112" s="74" t="str">
        <x:v>Attempt product creation with normal user JWT.</x:v>
      </x:c>
      <x:c r="C112" s="74" t="str">
        <x:v>POST
http://localhost:3000/api/products
Input: {"name": "User Role {{uniqueSuffix}}", "price":1000, "category_id":{{categoryId}}}</x:v>
      </x:c>
      <x:c r="D112" s="74" t="str">
        <x:v>403; Forbidden JSON; no row inserted.</x:v>
      </x:c>
      <x:c r="E112" s="73" t="str">
        <x:v>200 OK; status follows the reviewed oracle: Actual status: 200: expected [ 403 ] to include 200</x:v>
      </x:c>
      <x:c r="F112" s="75" t="str">
        <x:v>FAILED</x:v>
      </x:c>
    </x:row>
    <x:row r="113" ht="57.599998474121094" hidden="0" customHeight="1">
      <x:c r="A113" s="73" t="str">
        <x:v>TC-C-35</x:v>
      </x:c>
      <x:c r="B113" s="74" t="str">
        <x:v>Verify SQL-like name and HTML-like description are treated only as data and cannot alter queries or create executable API output.</x:v>
      </x:c>
      <x:c r="C113" s="74" t="str">
        <x:v>POST
http://localhost:3000/api/products
Input: {"name":"' OR 1=1 -- {{uniqueSuffix}}", "price":1000, "description": "&lt;script&gt;alert(1)&lt;/script&gt;", "category_id":{{categoryId}}}</x:v>
      </x:c>
      <x:c r="D113" s="74" t="str">
        <x:v>200 or documented 400; never 5xx; No SQL broadening/error leakage or HTML execution claim. If accepted, exact strings are stored as data, unrelated products unchanged, and fixture cleaned; if rejected, no row. Recommend splitting during human extension.</x:v>
      </x:c>
      <x:c r="E113" s="73" t="str">
        <x:v>200 OK; all reviewed assertions passed</x:v>
      </x:c>
      <x:c r="F113" s="75" t="str">
        <x:v>PASSED</x:v>
      </x:c>
    </x:row>
    <x:row r="114" ht="72" hidden="0" customHeight="1">
      <x:c r="A114" s="73" t="str">
        <x:v>TC-C-36</x:v>
      </x:c>
      <x:c r="B114" s="74" t="str">
        <x:v>Verify a normal user cannot bypass the admin-role check by injecting role or __proto__ properties into an otherwise valid product body.</x:v>
      </x:c>
      <x:c r="C114" s="74" t="str">
        <x:v>POST
http://localhost:3000/api/products
Input: {"name":"Role Bypass {{uniqueSuffix}}","price":1000,"category_id":{{categoryId}},"role":"admin","__proto__":{"role":"admin"}}</x:v>
      </x:c>
      <x:c r="D114" s="74" t="str">
        <x:v>403; Both normal-user requests are forbidden; no role escalation, prototype pollution, or product insertion occurs. The admin control still works normally, its fixture is removed, and unrelated products remain unchanged.</x:v>
      </x:c>
      <x:c r="E114" s="73" t="str">
        <x:v>200 OK; status follows the reviewed oracle: Actual status: 200: expected [ 403 ] to include 200; normal user cannot escalate through request properties: expected 200 to deeply equal 403</x:v>
      </x:c>
      <x:c r="F114" s="75" t="str">
        <x:v>FAILED</x:v>
      </x:c>
    </x:row>
    <x:row r="115" ht="31.200000762939453">
      <x:c r="A115" s="10"/>
      <x:c r="B115" s="11"/>
      <x:c r="C115" s="11"/>
      <x:c r="D115" s="11"/>
      <x:c r="E115" s="20"/>
      <x:c r="F115" s="12"/>
    </x:row>
  </x:sheetData>
  <x:mergeCells>
    <x:mergeCell ref="A2:F2"/>
    <x:mergeCell ref="A38:F38"/>
    <x:mergeCell ref="A78:F78"/>
  </x:mergeCells>
  <x:conditionalFormatting sqref="F3:F114">
    <x:cfRule type="containsText" dxfId="0" priority="1" operator="containsText" text="PASSED"/>
    <x:cfRule type="containsText" dxfId="1" priority="2" operator="containsText" text="FAIL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48" hidden="0" customWidth="1"/>
    <x:col min="2" max="2" width="18" hidden="0" customWidth="1"/>
    <x:col min="3" max="5" width="15" customWidth="1"/>
    <x:col min="6" max="6" width="18" customWidth="1"/>
    <x:col min="3" max="3" width="18" hidden="0" customWidth="1"/>
    <x:col min="4" max="4" width="18" hidden="0" customWidth="1"/>
    <x:col min="5" max="5" width="18" hidden="0" customWidth="1"/>
  </x:cols>
  <x:sheetData>
    <x:row r="1" ht="36" customHeight="1">
      <x:c r="A1" s="87" t="str">
        <x:v>TEST EXECUTION SUMMARY REPORT</x:v>
      </x:c>
      <x:c r="B1" s="89"/>
      <x:c r="C1" s="89"/>
      <x:c r="D1" s="89"/>
      <x:c r="E1" s="89"/>
      <x:c r="F1" s="9"/>
    </x:row>
    <x:row r="2" ht="10.050000190734863" customHeight="1"/>
    <x:row r="3" ht="28" customHeight="1">
      <x:c r="A3" s="92" t="str">
        <x:v>Test Suite</x:v>
      </x:c>
      <x:c r="B3" s="92" t="str">
        <x:v>Total Test Cases</x:v>
      </x:c>
      <x:c r="C3" s="92" t="str">
        <x:v>Executed</x:v>
      </x:c>
      <x:c r="D3" s="92" t="str">
        <x:v>Passed</x:v>
      </x:c>
      <x:c r="E3" s="92" t="str">
        <x:v>Failed</x:v>
      </x:c>
      <x:c r="F3" s="1"/>
    </x:row>
    <x:row r="4" ht="28" customHeight="1">
      <x:c r="A4" s="93" t="str">
        <x:v>Pool A — FR-05 Product Listing and Search</x:v>
      </x:c>
      <x:c r="B4" s="94" t="n">
        <x:f>COUNTA('Test Case List'!A3:A37)</x:f>
        <x:v>35</x:v>
      </x:c>
      <x:c r="C4" s="94" t="n">
        <x:f>COUNTIF('Test Case List'!F3:F37,"PASSED")+COUNTIF('Test Case List'!F3:F37,"FAILED")</x:f>
        <x:v>35</x:v>
      </x:c>
      <x:c r="D4" s="94" t="n">
        <x:f>COUNTIF('Test Case List'!F3:F37,"PASSED")</x:f>
        <x:v>31</x:v>
      </x:c>
      <x:c r="E4" s="94" t="n">
        <x:f>COUNTIF('Test Case List'!F3:F37,"FAILED")</x:f>
        <x:v>4</x:v>
      </x:c>
      <x:c r="F4" s="6"/>
    </x:row>
    <x:row r="5" ht="28" customHeight="1">
      <x:c r="A5" s="93" t="str">
        <x:v>Pool B — FR-10 Order State Machine</x:v>
      </x:c>
      <x:c r="B5" s="94" t="n">
        <x:f>COUNTA('Test Case List'!A39:A77)</x:f>
        <x:v>39</x:v>
      </x:c>
      <x:c r="C5" s="94" t="n">
        <x:f>COUNTIF('Test Case List'!F39:F77,"PASSED")+COUNTIF('Test Case List'!F39:F77,"FAILED")</x:f>
        <x:v>39</x:v>
      </x:c>
      <x:c r="D5" s="94" t="n">
        <x:f>COUNTIF('Test Case List'!F39:F77,"PASSED")</x:f>
        <x:v>35</x:v>
      </x:c>
      <x:c r="E5" s="94" t="n">
        <x:f>COUNTIF('Test Case List'!F39:F77,"FAILED")</x:f>
        <x:v>4</x:v>
      </x:c>
      <x:c r="F5" s="6"/>
    </x:row>
    <x:row r="6" ht="28" customHeight="1">
      <x:c r="A6" s="93" t="str">
        <x:v>Pool C — FR-15 Product Management</x:v>
      </x:c>
      <x:c r="B6" s="94" t="n">
        <x:f>COUNTA('Test Case List'!A79:A114)</x:f>
        <x:v>36</x:v>
      </x:c>
      <x:c r="C6" s="94" t="n">
        <x:f>COUNTIF('Test Case List'!F79:F114,"PASSED")+COUNTIF('Test Case List'!F79:F114,"FAILED")</x:f>
        <x:v>36</x:v>
      </x:c>
      <x:c r="D6" s="94" t="n">
        <x:f>COUNTIF('Test Case List'!F79:F114,"PASSED")</x:f>
        <x:v>14</x:v>
      </x:c>
      <x:c r="E6" s="94" t="n">
        <x:f>COUNTIF('Test Case List'!F79:F114,"FAILED")</x:f>
        <x:v>22</x:v>
      </x:c>
      <x:c r="F6" s="6"/>
    </x:row>
    <x:row r="7" ht="28" customHeight="1">
      <x:c r="A7" s="97" t="str">
        <x:v>Total</x:v>
      </x:c>
      <x:c r="B7" s="99" t="n">
        <x:f>SUM(B4:B6)</x:f>
        <x:v>110</x:v>
      </x:c>
      <x:c r="C7" s="99" t="n">
        <x:f>SUM(C4:C6)</x:f>
        <x:v>110</x:v>
      </x:c>
      <x:c r="D7" s="99" t="n">
        <x:f>SUM(D4:D6)</x:f>
        <x:v>80</x:v>
      </x:c>
      <x:c r="E7" s="99" t="n">
        <x:f>SUM(E4:E6)</x:f>
        <x:v>30</x:v>
      </x:c>
      <x:c r="F7" s="7"/>
    </x:row>
  </x:sheetData>
  <x:mergeCells>
    <x:mergeCell ref="A1:E1"/>
  </x:mergeCells>
  <x:pageMargins left="0.7" right="0.7" top="0.75" bottom="0.75" header="0.3" footer="0.3"/>
</x:worksheet>
</file>